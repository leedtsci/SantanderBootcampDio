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0612288\Desktop\Dash_Camp\"/>
    </mc:Choice>
  </mc:AlternateContent>
  <xr:revisionPtr revIDLastSave="0" documentId="13_ncr:1_{8EB1743A-9CCF-4137-BD7A-49A3AD8CB381}" xr6:coauthVersionLast="47" xr6:coauthVersionMax="47" xr10:uidLastSave="{00000000-0000-0000-0000-000000000000}"/>
  <bookViews>
    <workbookView xWindow="-120" yWindow="-120" windowWidth="20730" windowHeight="11040" firstSheet="1" activeTab="3" xr2:uid="{28DD5B76-0634-4F87-BE60-8BFA7EF2E23B}"/>
  </bookViews>
  <sheets>
    <sheet name="A̳ssets" sheetId="1" state="hidden" r:id="rId1"/>
    <sheet name="B̳ases" sheetId="2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Meses__Start_Date">#N/A</definedName>
    <definedName name="SegmentaçãodeDados_Plan">#N/A</definedName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F88" i="3"/>
  <c r="F89" i="3"/>
  <c r="E80" i="3"/>
  <c r="E24" i="3"/>
  <c r="E35" i="3"/>
  <c r="E58" i="3"/>
  <c r="F90" i="3" l="1"/>
  <c r="G80" i="3"/>
</calcChain>
</file>

<file path=xl/sharedStrings.xml><?xml version="1.0" encoding="utf-8"?>
<sst xmlns="http://schemas.openxmlformats.org/spreadsheetml/2006/main" count="2077" uniqueCount="352">
  <si>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</si>
  <si>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</si>
  <si>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</si>
  <si>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</si>
  <si>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</si>
  <si>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</si>
  <si>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</si>
  <si>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</si>
  <si>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</si>
  <si>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</si>
  <si>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</si>
  <si>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</si>
  <si>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</si>
  <si>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</si>
  <si>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</si>
  <si>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</si>
  <si>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</si>
  <si>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</si>
  <si>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</si>
  <si>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</si>
  <si>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</si>
  <si>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</si>
  <si>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</si>
  <si>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</si>
  <si>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</si>
  <si>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</si>
  <si>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</si>
  <si>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</si>
  <si>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</si>
  <si>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</si>
  <si>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</si>
  <si>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</si>
  <si>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</si>
  <si>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</si>
  <si>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</si>
  <si>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</si>
  <si>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</si>
  <si>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</si>
  <si>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</si>
  <si>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</si>
  <si>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</si>
  <si>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</si>
  <si>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</si>
  <si>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</si>
  <si>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</si>
  <si>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</si>
  <si>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</si>
  <si>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</si>
  <si>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</si>
  <si>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</si>
  <si>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</si>
  <si>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</si>
  <si>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</si>
  <si>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</si>
  <si>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</si>
  <si>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</si>
  <si>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</si>
  <si>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</si>
  <si>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</si>
  <si>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</si>
  <si>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</si>
  <si>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</si>
  <si>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</si>
  <si>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</si>
  <si>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</si>
  <si>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</si>
  <si>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</si>
  <si>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</si>
  <si>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</si>
  <si>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</si>
  <si>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</si>
  <si>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</si>
  <si>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</si>
  <si>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</si>
  <si>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</si>
  <si>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</si>
  <si>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</si>
  <si>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</si>
  <si>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</si>
  <si>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</si>
  <si>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</si>
  <si>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</si>
  <si>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</si>
  <si>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</si>
  <si>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</si>
  <si>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</si>
  <si>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</si>
  <si>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</si>
  <si>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</si>
  <si>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</si>
  <si>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</si>
  <si>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</si>
  <si>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</si>
  <si>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</si>
  <si>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</si>
  <si>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</si>
  <si>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</si>
  <si>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</si>
  <si>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</si>
  <si>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</si>
  <si>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</si>
  <si>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</si>
  <si>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</si>
  <si>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</si>
  <si>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</si>
  <si>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</si>
  <si>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</si>
  <si>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</si>
  <si>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</si>
  <si>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</si>
  <si>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</si>
  <si>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</si>
  <si>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</si>
  <si>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</si>
  <si>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</si>
  <si>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</si>
  <si>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</si>
  <si>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</si>
  <si>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</si>
  <si>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</si>
  <si>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</si>
  <si>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</si>
  <si>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</si>
  <si>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</si>
  <si>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</si>
  <si>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</si>
  <si>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</si>
  <si>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</si>
  <si>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</si>
  <si>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</si>
  <si>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</si>
  <si>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</si>
  <si>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</si>
  <si>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</si>
  <si>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</si>
  <si>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</si>
  <si>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</si>
  <si>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</si>
  <si>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</si>
  <si>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</si>
  <si>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</si>
  <si>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</si>
  <si>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</si>
  <si>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</si>
  <si>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</si>
  <si>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</si>
  <si>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</si>
  <si>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</si>
  <si>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</si>
  <si>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</si>
  <si>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</si>
  <si>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</si>
  <si>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</si>
  <si>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</si>
  <si>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</si>
  <si>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</si>
  <si>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</si>
  <si>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</si>
  <si>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</si>
  <si>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</si>
  <si>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</si>
  <si>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</si>
  <si>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</si>
  <si>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</si>
  <si>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</si>
  <si>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</si>
  <si>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</si>
  <si>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</si>
  <si>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</si>
  <si>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</si>
  <si>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</si>
  <si>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</si>
  <si>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</si>
  <si>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</si>
  <si>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</si>
  <si>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</si>
  <si>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</si>
  <si>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</si>
  <si>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</si>
  <si>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</si>
  <si>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</si>
  <si>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</si>
  <si>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</si>
  <si>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</si>
  <si>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</si>
  <si>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</si>
  <si>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</si>
  <si>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</si>
  <si>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</si>
  <si>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</si>
  <si>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</si>
  <si>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</si>
  <si>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</si>
  <si>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</si>
  <si>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</si>
  <si>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</si>
  <si>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</si>
  <si>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</si>
  <si>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</si>
  <si>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</si>
  <si>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</si>
  <si>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</si>
  <si>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</si>
  <si>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</si>
  <si>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</si>
  <si>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</si>
  <si>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</si>
  <si>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</si>
  <si>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</si>
  <si>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</si>
  <si>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</si>
  <si>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</si>
  <si>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</si>
  <si>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</si>
  <si>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</si>
  <si>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</si>
  <si>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</si>
  <si>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</si>
  <si>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</si>
  <si>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</si>
  <si>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</si>
  <si>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</si>
  <si>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</si>
  <si>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</si>
  <si>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</si>
  <si>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</si>
  <si>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</si>
  <si>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</si>
  <si>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</si>
  <si>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</si>
  <si>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</si>
  <si>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</si>
  <si>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</si>
  <si>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</si>
  <si>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</si>
  <si>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</si>
  <si>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</si>
  <si>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</si>
  <si>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</si>
  <si>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</si>
  <si>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</si>
  <si>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</si>
  <si>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</si>
  <si>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</si>
  <si>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</si>
  <si>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</si>
  <si>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</si>
  <si>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</si>
  <si>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</si>
  <si>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</si>
  <si>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</si>
  <si>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</si>
  <si>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</si>
  <si>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</si>
  <si>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</si>
  <si>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</si>
  <si>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</si>
  <si>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</si>
  <si>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</si>
  <si>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</si>
  <si>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</si>
  <si>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</si>
  <si>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</si>
  <si>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</si>
  <si>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</si>
  <si>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</si>
  <si>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</si>
  <si>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</si>
  <si>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</si>
  <si>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</si>
  <si>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</si>
  <si>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</si>
  <si>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</si>
  <si>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</si>
  <si>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</si>
  <si>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</si>
  <si>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</si>
  <si>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</si>
  <si>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</si>
  <si>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</si>
  <si>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</si>
  <si>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</si>
  <si>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</si>
  <si>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</si>
  <si>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</si>
  <si>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</si>
  <si>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</si>
  <si>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</si>
  <si>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</si>
  <si>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</si>
  <si>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</si>
  <si>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</si>
  <si>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</si>
  <si>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</si>
  <si>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</si>
  <si>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</si>
  <si>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</si>
  <si>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</si>
  <si>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</si>
  <si>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</si>
  <si>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</si>
  <si>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</si>
  <si>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</si>
  <si>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</si>
  <si>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</si>
  <si>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</si>
  <si>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</si>
  <si>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</si>
  <si>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</si>
  <si>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</si>
  <si>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</si>
  <si>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</si>
  <si>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</si>
  <si>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</si>
  <si>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</si>
  <si>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</si>
  <si>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</si>
  <si>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</si>
  <si>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</si>
  <si>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</si>
  <si>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</si>
  <si>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</si>
  <si>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</si>
  <si>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</si>
  <si>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</si>
  <si>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</si>
  <si>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</si>
  <si>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Total Value</t>
  </si>
  <si>
    <t>(Tudo)</t>
  </si>
  <si>
    <t>Há sazonalidade?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</si>
  <si>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</si>
  <si>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Para elaboração do Dashboard, revolvi manter as 4 perguntas iniciais que são pertinentes ao negócio e contribuem com a criação do painél</t>
  </si>
  <si>
    <t>Cálculos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</si>
  <si>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</si>
  <si>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Pergunta Negócio 3 - Total de Vendas de Assinaturas do EA Play</t>
  </si>
  <si>
    <t>Soma de EA Play Season Pass</t>
  </si>
  <si>
    <t>Soma de Minecraft Season Pass Price</t>
  </si>
  <si>
    <t>Pergunta Negócio 4 - Total de Vendas de Assinaturas do Minecraft</t>
  </si>
  <si>
    <t>Soma de Coupon Value</t>
  </si>
  <si>
    <t>Valor Total de Vendas</t>
  </si>
  <si>
    <t>Descontos</t>
  </si>
  <si>
    <t>Total Vendas</t>
  </si>
  <si>
    <t>Total Minecraft</t>
  </si>
  <si>
    <t>Total EA Play</t>
  </si>
  <si>
    <t>Vendas - Descontos</t>
  </si>
  <si>
    <t>Use Cupon</t>
  </si>
  <si>
    <t>Usou Cupom?</t>
  </si>
  <si>
    <t>Contagem de Use Cupon</t>
  </si>
  <si>
    <t>% No</t>
  </si>
  <si>
    <t>% Yes</t>
  </si>
  <si>
    <t>%Total</t>
  </si>
  <si>
    <t>Valor de Cupons mensais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</si>
</sst>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8" borderId="0" xfId="0" applyFill="1"/>
    <xf numFmtId="0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3" applyFont="1"/>
    <xf numFmtId="10" fontId="0" fillId="0" borderId="0" xfId="3" applyNumberFormat="1" applyFont="1"/>
    <xf numFmtId="0" fontId="5" fillId="7" borderId="0" xfId="0" applyFont="1" applyFill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18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9" tint="0.79998168889431442"/>
        </patternFill>
      </fill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4D12403-9179-4F4E-943F-CA1AA092CCEA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9BC848"/>
      <color rgb="FFE0E0E0"/>
      <color rgb="FFE8E6E9"/>
      <color rgb="FF00000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dinâmica1</c:name>
    <c:fmtId val="28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280000" spcFirstLastPara="1" vertOverflow="ellipsis" wrap="none" lIns="0" tIns="0" rIns="0" bIns="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rgbClr val="E0E0E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2.5730994152046785E-2"/>
          <c:y val="0.2732782843371353"/>
          <c:w val="0.94853801169590646"/>
          <c:h val="0.624822997301229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280000" spcFirstLastPara="1" vertOverflow="ellipsis" wrap="none" lIns="0" tIns="0" rIns="0" bIns="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C̳álculos!$B$47:$B$59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C̳álculos!$C$47:$C$59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33-4121-83D7-FCC77F153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07344128"/>
        <c:axId val="1307344608"/>
      </c:barChart>
      <c:catAx>
        <c:axId val="130734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7344608"/>
        <c:crosses val="autoZero"/>
        <c:auto val="1"/>
        <c:lblAlgn val="ctr"/>
        <c:lblOffset val="100"/>
        <c:noMultiLvlLbl val="0"/>
      </c:catAx>
      <c:valAx>
        <c:axId val="13073446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307344128"/>
        <c:crosses val="autoZero"/>
        <c:crossBetween val="between"/>
        <c:majorUnit val="100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dinâmica2</c:name>
    <c:fmtId val="17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rgbClr val="22C55E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333120122540649"/>
          <c:y val="0.17129629629629628"/>
          <c:w val="0.71833550699855464"/>
          <c:h val="0.777777777777777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E2CC-46A9-B2D3-80FCA819CFF1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2-E2CC-46A9-B2D3-80FCA819CFF1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CC-46A9-B2D3-80FCA819CFF1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CC-46A9-B2D3-80FCA819CF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C-46A9-B2D3-80FCA819CF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7275008"/>
        <c:axId val="1307260608"/>
      </c:barChart>
      <c:catAx>
        <c:axId val="130727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7260608"/>
        <c:crosses val="autoZero"/>
        <c:auto val="1"/>
        <c:lblAlgn val="ctr"/>
        <c:lblOffset val="100"/>
        <c:noMultiLvlLbl val="0"/>
      </c:catAx>
      <c:valAx>
        <c:axId val="130726060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0727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sq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solidFill>
              <a:srgbClr val="22C55E">
                <a:alpha val="91000"/>
              </a:srgb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pPr>
            <a:solidFill>
              <a:srgbClr val="22C55E"/>
            </a:solidFill>
            <a:ln>
              <a:solidFill>
                <a:srgbClr val="22C55E"/>
              </a:solidFill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  <a:bevelB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2280000" spcFirstLastPara="1" vertOverflow="ellipsis" wrap="square" lIns="0" tIns="0" rIns="0" bIns="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2173439067720613E-2"/>
          <c:y val="0.35015603598402634"/>
          <c:w val="0.96856270554179147"/>
          <c:h val="0.64888224432321373"/>
        </c:manualLayout>
      </c:layout>
      <c:lineChart>
        <c:grouping val="standard"/>
        <c:varyColors val="0"/>
        <c:ser>
          <c:idx val="0"/>
          <c:order val="0"/>
          <c:tx>
            <c:strRef>
              <c:f>C̳álculos!$C$68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22C55E">
                  <a:alpha val="91000"/>
                </a:srgbClr>
              </a:solidFill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rgbClr val="22C55E"/>
              </a:solidFill>
              <a:ln>
                <a:solidFill>
                  <a:srgbClr val="22C55E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228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C̳álculos!$B$69:$B$81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C̳álculos!$C$69:$C$81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204</c:v>
                </c:pt>
                <c:pt idx="3">
                  <c:v>218</c:v>
                </c:pt>
                <c:pt idx="4">
                  <c:v>228</c:v>
                </c:pt>
                <c:pt idx="5">
                  <c:v>230</c:v>
                </c:pt>
                <c:pt idx="6">
                  <c:v>221</c:v>
                </c:pt>
                <c:pt idx="7">
                  <c:v>218</c:v>
                </c:pt>
                <c:pt idx="8">
                  <c:v>220</c:v>
                </c:pt>
                <c:pt idx="9">
                  <c:v>233</c:v>
                </c:pt>
                <c:pt idx="10">
                  <c:v>216</c:v>
                </c:pt>
                <c:pt idx="11">
                  <c:v>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7-49D9-8FB2-7B6D5F0A96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07351328"/>
        <c:axId val="1307351808"/>
      </c:lineChart>
      <c:catAx>
        <c:axId val="130735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7351808"/>
        <c:crosses val="autoZero"/>
        <c:auto val="1"/>
        <c:lblAlgn val="ctr"/>
        <c:lblOffset val="100"/>
        <c:noMultiLvlLbl val="0"/>
      </c:catAx>
      <c:valAx>
        <c:axId val="13073518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0735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dinâmica6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  <a:bevelB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416522761237523E-2"/>
          <c:y val="0.1648529228249852"/>
          <c:w val="0.89916695447752493"/>
          <c:h val="0.74110809258408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C̳álculos!$B$88:$B$90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C̳álculos!$C$88:$C$90</c:f>
              <c:numCache>
                <c:formatCode>General</c:formatCode>
                <c:ptCount val="2"/>
                <c:pt idx="0">
                  <c:v>51</c:v>
                </c:pt>
                <c:pt idx="1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A-40E1-9BCD-E9939C14DB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1"/>
        <c:overlap val="50"/>
        <c:axId val="1188670624"/>
        <c:axId val="1188673024"/>
      </c:barChart>
      <c:catAx>
        <c:axId val="118867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673024"/>
        <c:crosses val="autoZero"/>
        <c:auto val="1"/>
        <c:lblAlgn val="ctr"/>
        <c:lblOffset val="100"/>
        <c:noMultiLvlLbl val="0"/>
      </c:catAx>
      <c:valAx>
        <c:axId val="1188673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867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66663972003996"/>
          <c:y val="0.25230426294091501"/>
          <c:w val="0.68833339059491516"/>
          <c:h val="0.66185893387426453"/>
        </c:manualLayout>
      </c:layout>
      <c:pieChart>
        <c:varyColors val="1"/>
        <c:ser>
          <c:idx val="0"/>
          <c:order val="0"/>
          <c:spPr>
            <a:solidFill>
              <a:srgbClr val="22C55E"/>
            </a:solidFill>
            <a:ln>
              <a:noFill/>
            </a:ln>
            <a:effectLst>
              <a:outerShdw dist="38100" dir="13500000" algn="b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dPt>
            <c:idx val="0"/>
            <c:bubble3D val="0"/>
            <c:spPr>
              <a:solidFill>
                <a:srgbClr val="9BC848"/>
              </a:solidFill>
              <a:ln w="19050">
                <a:noFill/>
              </a:ln>
              <a:effectLst>
                <a:outerShdw dist="38100" dir="13500000" algn="b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2488-407E-AC3B-50F955E61912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noFill/>
              </a:ln>
              <a:effectLst>
                <a:outerShdw dist="38100" dir="13500000" algn="b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3-2488-407E-AC3B-50F955E6191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C̳álculos!$E$88:$E$89</c:f>
              <c:strCache>
                <c:ptCount val="2"/>
                <c:pt idx="0">
                  <c:v>% No</c:v>
                </c:pt>
                <c:pt idx="1">
                  <c:v>% Yes</c:v>
                </c:pt>
              </c:strCache>
            </c:strRef>
          </c:cat>
          <c:val>
            <c:numRef>
              <c:f>C̳álculos!$F$88:$F$89</c:f>
              <c:numCache>
                <c:formatCode>0.00%</c:formatCode>
                <c:ptCount val="2"/>
                <c:pt idx="0">
                  <c:v>0.1729</c:v>
                </c:pt>
                <c:pt idx="1">
                  <c:v>0.82709999999999995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88-407E-AC3B-50F955E619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svg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image" Target="../media/image9.png"/><Relationship Id="rId12" Type="http://schemas.openxmlformats.org/officeDocument/2006/relationships/image" Target="../media/image18.svg"/><Relationship Id="rId2" Type="http://schemas.openxmlformats.org/officeDocument/2006/relationships/chart" Target="../charts/chart2.xml"/><Relationship Id="rId16" Type="http://schemas.openxmlformats.org/officeDocument/2006/relationships/image" Target="../media/image21.svg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11" Type="http://schemas.openxmlformats.org/officeDocument/2006/relationships/image" Target="../media/image17.png"/><Relationship Id="rId5" Type="http://schemas.microsoft.com/office/2007/relationships/hdphoto" Target="../media/hdphoto1.wdp"/><Relationship Id="rId15" Type="http://schemas.openxmlformats.org/officeDocument/2006/relationships/image" Target="../media/image20.png"/><Relationship Id="rId10" Type="http://schemas.openxmlformats.org/officeDocument/2006/relationships/chart" Target="../charts/chart5.xml"/><Relationship Id="rId4" Type="http://schemas.openxmlformats.org/officeDocument/2006/relationships/image" Target="../media/image15.png"/><Relationship Id="rId9" Type="http://schemas.openxmlformats.org/officeDocument/2006/relationships/chart" Target="../charts/chart4.xml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419100</xdr:colOff>
      <xdr:row>12</xdr:row>
      <xdr:rowOff>142875</xdr:rowOff>
    </xdr:from>
    <xdr:to>
      <xdr:col>14</xdr:col>
      <xdr:colOff>114300</xdr:colOff>
      <xdr:row>17</xdr:row>
      <xdr:rowOff>95250</xdr:rowOff>
    </xdr:to>
    <xdr:pic>
      <xdr:nvPicPr>
        <xdr:cNvPr id="6" name="Gráfico 5" descr="Gráfico de barras com preenchimento sólido">
          <a:extLst>
            <a:ext uri="{FF2B5EF4-FFF2-40B4-BE49-F238E27FC236}">
              <a16:creationId xmlns:a16="http://schemas.microsoft.com/office/drawing/2014/main" id="{825EB227-D50A-9D81-E511-725BC9215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362825" y="25717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85725</xdr:colOff>
      <xdr:row>12</xdr:row>
      <xdr:rowOff>152400</xdr:rowOff>
    </xdr:from>
    <xdr:to>
      <xdr:col>15</xdr:col>
      <xdr:colOff>390525</xdr:colOff>
      <xdr:row>17</xdr:row>
      <xdr:rowOff>104775</xdr:rowOff>
    </xdr:to>
    <xdr:pic>
      <xdr:nvPicPr>
        <xdr:cNvPr id="11" name="Gráfico 10" descr="Filtro com preenchimento sólido">
          <a:extLst>
            <a:ext uri="{FF2B5EF4-FFF2-40B4-BE49-F238E27FC236}">
              <a16:creationId xmlns:a16="http://schemas.microsoft.com/office/drawing/2014/main" id="{514CD890-855D-781F-47EE-5CD88EEEC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248650" y="258127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45</xdr:row>
      <xdr:rowOff>0</xdr:rowOff>
    </xdr:from>
    <xdr:to>
      <xdr:col>11</xdr:col>
      <xdr:colOff>304800</xdr:colOff>
      <xdr:row>46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304800</xdr:colOff>
      <xdr:row>46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536863</xdr:colOff>
      <xdr:row>5</xdr:row>
      <xdr:rowOff>48244</xdr:rowOff>
    </xdr:from>
    <xdr:to>
      <xdr:col>25</xdr:col>
      <xdr:colOff>297811</xdr:colOff>
      <xdr:row>23</xdr:row>
      <xdr:rowOff>51954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52ECDD-5BC7-47A0-B08B-F741B3A69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103908</xdr:colOff>
      <xdr:row>24</xdr:row>
      <xdr:rowOff>85721</xdr:rowOff>
    </xdr:from>
    <xdr:to>
      <xdr:col>0</xdr:col>
      <xdr:colOff>2494308</xdr:colOff>
      <xdr:row>31</xdr:row>
      <xdr:rowOff>159539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lan">
              <a:extLst>
                <a:ext uri="{FF2B5EF4-FFF2-40B4-BE49-F238E27FC236}">
                  <a16:creationId xmlns:a16="http://schemas.microsoft.com/office/drawing/2014/main" id="{222F3F8C-7647-8835-64E3-92D242BFF10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08" y="4900176"/>
              <a:ext cx="2390400" cy="14073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103908</xdr:colOff>
      <xdr:row>16</xdr:row>
      <xdr:rowOff>169500</xdr:rowOff>
    </xdr:from>
    <xdr:to>
      <xdr:col>0</xdr:col>
      <xdr:colOff>2494308</xdr:colOff>
      <xdr:row>24</xdr:row>
      <xdr:rowOff>2812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Subscription Type">
              <a:extLst>
                <a:ext uri="{FF2B5EF4-FFF2-40B4-BE49-F238E27FC236}">
                  <a16:creationId xmlns:a16="http://schemas.microsoft.com/office/drawing/2014/main" id="{12AB2072-CEBE-40BB-A65C-962B921EB54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08" y="3459955"/>
              <a:ext cx="2390400" cy="13573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25</xdr:col>
      <xdr:colOff>286371</xdr:colOff>
      <xdr:row>5</xdr:row>
      <xdr:rowOff>46882</xdr:rowOff>
    </xdr:from>
    <xdr:to>
      <xdr:col>35</xdr:col>
      <xdr:colOff>450273</xdr:colOff>
      <xdr:row>23</xdr:row>
      <xdr:rowOff>17317</xdr:rowOff>
    </xdr:to>
    <xdr:graphicFrame macro="">
      <xdr:nvGraphicFramePr>
        <xdr:cNvPr id="16" name="Gráfico 6">
          <a:extLst>
            <a:ext uri="{FF2B5EF4-FFF2-40B4-BE49-F238E27FC236}">
              <a16:creationId xmlns:a16="http://schemas.microsoft.com/office/drawing/2014/main" id="{A31F3B0A-84D7-2866-6AB8-3E480877E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84394</xdr:colOff>
      <xdr:row>23</xdr:row>
      <xdr:rowOff>17317</xdr:rowOff>
    </xdr:from>
    <xdr:to>
      <xdr:col>10</xdr:col>
      <xdr:colOff>519545</xdr:colOff>
      <xdr:row>41</xdr:row>
      <xdr:rowOff>173180</xdr:rowOff>
    </xdr:to>
    <xdr:grpSp>
      <xdr:nvGrpSpPr>
        <xdr:cNvPr id="62" name="Agrupar 61">
          <a:extLst>
            <a:ext uri="{FF2B5EF4-FFF2-40B4-BE49-F238E27FC236}">
              <a16:creationId xmlns:a16="http://schemas.microsoft.com/office/drawing/2014/main" id="{788C7205-7F08-D7D7-02C0-9DB4A3B2A026}"/>
            </a:ext>
          </a:extLst>
        </xdr:cNvPr>
        <xdr:cNvGrpSpPr/>
      </xdr:nvGrpSpPr>
      <xdr:grpSpPr>
        <a:xfrm>
          <a:off x="2682121" y="4641272"/>
          <a:ext cx="5526697" cy="3636817"/>
          <a:chOff x="2803348" y="4499648"/>
          <a:chExt cx="5517560" cy="3513338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DF6E9AA3-CBAC-0B97-4BE2-73F1C93C256C}"/>
              </a:ext>
            </a:extLst>
          </xdr:cNvPr>
          <xdr:cNvGrpSpPr/>
        </xdr:nvGrpSpPr>
        <xdr:grpSpPr>
          <a:xfrm>
            <a:off x="2807847" y="4499648"/>
            <a:ext cx="5500380" cy="1283993"/>
            <a:chOff x="2071686" y="904875"/>
            <a:chExt cx="2178845" cy="892969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2E4BEB05-5B7C-0CCC-04E0-D5813F68E102}"/>
                </a:ext>
              </a:extLst>
            </xdr:cNvPr>
            <xdr:cNvSpPr/>
          </xdr:nvSpPr>
          <xdr:spPr>
            <a:xfrm>
              <a:off x="2071686" y="904875"/>
              <a:ext cx="2178845" cy="892969"/>
            </a:xfrm>
            <a:prstGeom prst="roundRect">
              <a:avLst>
                <a:gd name="adj" fmla="val 100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/>
                <a:t>R$ 7.633,00</a:t>
              </a:r>
            </a:p>
          </xdr:txBody>
        </xdr:sp>
        <xdr:sp macro="" textlink="C̳álculos!E58">
          <xdr:nvSpPr>
            <xdr:cNvPr id="6" name="CaixaDeTexto 5">
              <a:extLst>
                <a:ext uri="{FF2B5EF4-FFF2-40B4-BE49-F238E27FC236}">
                  <a16:creationId xmlns:a16="http://schemas.microsoft.com/office/drawing/2014/main" id="{CE1D4024-7E07-AD2D-B04E-34AE62E1E72B}"/>
                </a:ext>
              </a:extLst>
            </xdr:cNvPr>
            <xdr:cNvSpPr txBox="1"/>
          </xdr:nvSpPr>
          <xdr:spPr>
            <a:xfrm>
              <a:off x="2446734" y="1262061"/>
              <a:ext cx="1428749" cy="44083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15C1A4A-2479-49D2-8440-8B4C0DC1EFA9}" type="TxLink">
                <a:rPr lang="en-US" sz="24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</a:rPr>
                <a:pPr algn="ctr"/>
                <a:t>R$ 7.633,00</a:t>
              </a:fld>
              <a:endParaRPr lang="pt-BR" sz="2400" b="1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3794CA44-D3F4-D997-CB91-FEE332082CE6}"/>
                </a:ext>
              </a:extLst>
            </xdr:cNvPr>
            <xdr:cNvSpPr/>
          </xdr:nvSpPr>
          <xdr:spPr>
            <a:xfrm>
              <a:off x="2125264" y="971550"/>
              <a:ext cx="2071688" cy="298118"/>
            </a:xfrm>
            <a:prstGeom prst="roundRect">
              <a:avLst>
                <a:gd name="adj" fmla="val 0"/>
              </a:avLst>
            </a:prstGeom>
            <a:solidFill>
              <a:schemeClr val="tx1">
                <a:lumMod val="50000"/>
                <a:lumOff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Valor de</a:t>
              </a:r>
              <a:r>
                <a:rPr lang="pt-BR" sz="1800" b="1" baseline="0">
                  <a:solidFill>
                    <a:schemeClr val="bg1"/>
                  </a:solidFill>
                </a:rPr>
                <a:t> Vendas</a:t>
              </a:r>
              <a:endParaRPr lang="pt-BR" sz="18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58" name="Agrupar 57">
            <a:extLst>
              <a:ext uri="{FF2B5EF4-FFF2-40B4-BE49-F238E27FC236}">
                <a16:creationId xmlns:a16="http://schemas.microsoft.com/office/drawing/2014/main" id="{F2E20D9B-A23A-64E2-F0C0-A1C8C3241258}"/>
              </a:ext>
            </a:extLst>
          </xdr:cNvPr>
          <xdr:cNvGrpSpPr/>
        </xdr:nvGrpSpPr>
        <xdr:grpSpPr>
          <a:xfrm>
            <a:off x="2803348" y="5605703"/>
            <a:ext cx="5517560" cy="1291690"/>
            <a:chOff x="2803348" y="5808643"/>
            <a:chExt cx="5517560" cy="945817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4A533FC4-91C5-1053-0264-0ADB54DF7FCA}"/>
                </a:ext>
              </a:extLst>
            </xdr:cNvPr>
            <xdr:cNvSpPr/>
          </xdr:nvSpPr>
          <xdr:spPr>
            <a:xfrm>
              <a:off x="2803348" y="5808643"/>
              <a:ext cx="5517560" cy="945817"/>
            </a:xfrm>
            <a:prstGeom prst="roundRect">
              <a:avLst>
                <a:gd name="adj" fmla="val 100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/>
                <a:t>R$ 7.633,00</a:t>
              </a:r>
            </a:p>
          </xdr:txBody>
        </xdr:sp>
        <xdr:sp macro="" textlink="C̳álculos!E80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959389CB-59E8-521F-E450-6EACA81799A7}"/>
                </a:ext>
              </a:extLst>
            </xdr:cNvPr>
            <xdr:cNvSpPr txBox="1"/>
          </xdr:nvSpPr>
          <xdr:spPr>
            <a:xfrm>
              <a:off x="3753094" y="6186968"/>
              <a:ext cx="3618068" cy="46692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C9A86799-8B06-41B2-9C3A-79680AE0D5EB}" type="TxLink">
                <a:rPr lang="en-US" sz="24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R$ 2.122,00</a:t>
              </a:fld>
              <a:endParaRPr lang="pt-BR" sz="24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1987FDFA-8FD4-73F6-382D-D0A5CBA0CD18}"/>
                </a:ext>
              </a:extLst>
            </xdr:cNvPr>
            <xdr:cNvSpPr/>
          </xdr:nvSpPr>
          <xdr:spPr>
            <a:xfrm>
              <a:off x="2939025" y="5884309"/>
              <a:ext cx="5246203" cy="315600"/>
            </a:xfrm>
            <a:prstGeom prst="roundRect">
              <a:avLst>
                <a:gd name="adj" fmla="val 0"/>
              </a:avLst>
            </a:prstGeom>
            <a:solidFill>
              <a:schemeClr val="tx1">
                <a:lumMod val="50000"/>
                <a:lumOff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Valor de</a:t>
              </a:r>
              <a:r>
                <a:rPr lang="pt-BR" sz="1800" b="1" baseline="0">
                  <a:solidFill>
                    <a:schemeClr val="bg1"/>
                  </a:solidFill>
                </a:rPr>
                <a:t> Vendas com Cupons de Desconto</a:t>
              </a:r>
              <a:endParaRPr lang="pt-BR" sz="18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59" name="Agrupar 58">
            <a:extLst>
              <a:ext uri="{FF2B5EF4-FFF2-40B4-BE49-F238E27FC236}">
                <a16:creationId xmlns:a16="http://schemas.microsoft.com/office/drawing/2014/main" id="{5D2B1F1E-8376-F729-FF08-0FFE254AFA79}"/>
              </a:ext>
            </a:extLst>
          </xdr:cNvPr>
          <xdr:cNvGrpSpPr/>
        </xdr:nvGrpSpPr>
        <xdr:grpSpPr>
          <a:xfrm>
            <a:off x="2807847" y="6719455"/>
            <a:ext cx="5504880" cy="1293531"/>
            <a:chOff x="2780497" y="6794062"/>
            <a:chExt cx="5532230" cy="947165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189D1DD9-BF43-CD6F-D878-B1EAEAE1E008}"/>
                </a:ext>
              </a:extLst>
            </xdr:cNvPr>
            <xdr:cNvSpPr/>
          </xdr:nvSpPr>
          <xdr:spPr>
            <a:xfrm>
              <a:off x="2780497" y="6794062"/>
              <a:ext cx="5532230" cy="947165"/>
            </a:xfrm>
            <a:prstGeom prst="roundRect">
              <a:avLst>
                <a:gd name="adj" fmla="val 100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/>
                <a:t>R$ 7.633,00</a:t>
              </a:r>
            </a:p>
          </xdr:txBody>
        </xdr:sp>
        <xdr:sp macro="" textlink="C̳álculos!G80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FA84C706-217B-B479-65F9-17D2BF296BDB}"/>
                </a:ext>
              </a:extLst>
            </xdr:cNvPr>
            <xdr:cNvSpPr txBox="1"/>
          </xdr:nvSpPr>
          <xdr:spPr>
            <a:xfrm>
              <a:off x="3732768" y="7172926"/>
              <a:ext cx="3627687" cy="46758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EA2B97D9-96A1-4F9C-BE5D-A2065925B2E7}" type="TxLink">
                <a:rPr lang="en-US" sz="24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R$ 5.511,00</a:t>
              </a:fld>
              <a:endParaRPr lang="en-US" sz="24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4DAB3CFF-B0C8-675D-3DB0-94BAF7FD8E18}"/>
                </a:ext>
              </a:extLst>
            </xdr:cNvPr>
            <xdr:cNvSpPr/>
          </xdr:nvSpPr>
          <xdr:spPr>
            <a:xfrm>
              <a:off x="2916535" y="6859732"/>
              <a:ext cx="5260151" cy="344631"/>
            </a:xfrm>
            <a:prstGeom prst="roundRect">
              <a:avLst>
                <a:gd name="adj" fmla="val 0"/>
              </a:avLst>
            </a:prstGeom>
            <a:solidFill>
              <a:schemeClr val="tx1">
                <a:lumMod val="50000"/>
                <a:lumOff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Valor Total (Vendas - Vendas</a:t>
              </a:r>
              <a:r>
                <a:rPr lang="pt-BR" sz="1800" b="1" baseline="0">
                  <a:solidFill>
                    <a:schemeClr val="bg1"/>
                  </a:solidFill>
                </a:rPr>
                <a:t> com Cupons </a:t>
              </a:r>
              <a:r>
                <a:rPr lang="pt-BR" sz="1800" b="1">
                  <a:solidFill>
                    <a:schemeClr val="bg1"/>
                  </a:solidFill>
                </a:rPr>
                <a:t>Desconto)</a:t>
              </a:r>
            </a:p>
          </xdr:txBody>
        </xdr:sp>
      </xdr:grpSp>
    </xdr:grpSp>
    <xdr:clientData/>
  </xdr:twoCellAnchor>
  <xdr:twoCellAnchor>
    <xdr:from>
      <xdr:col>10</xdr:col>
      <xdr:colOff>538255</xdr:colOff>
      <xdr:row>23</xdr:row>
      <xdr:rowOff>40824</xdr:rowOff>
    </xdr:from>
    <xdr:to>
      <xdr:col>25</xdr:col>
      <xdr:colOff>311728</xdr:colOff>
      <xdr:row>41</xdr:row>
      <xdr:rowOff>173182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3D2B97DF-CF64-4835-9AC2-7F0740A8F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71192</xdr:colOff>
      <xdr:row>4</xdr:row>
      <xdr:rowOff>98184</xdr:rowOff>
    </xdr:from>
    <xdr:to>
      <xdr:col>10</xdr:col>
      <xdr:colOff>510409</xdr:colOff>
      <xdr:row>16</xdr:row>
      <xdr:rowOff>69271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E0196D37-FC47-8DDC-EA14-08251C1A313C}"/>
            </a:ext>
          </a:extLst>
        </xdr:cNvPr>
        <xdr:cNvGrpSpPr/>
      </xdr:nvGrpSpPr>
      <xdr:grpSpPr>
        <a:xfrm>
          <a:off x="2668919" y="998729"/>
          <a:ext cx="5530763" cy="2360997"/>
          <a:chOff x="9513433" y="990921"/>
          <a:chExt cx="4052888" cy="1205472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5655CED4-19EA-6F62-DE68-A45A91A283AD}"/>
              </a:ext>
            </a:extLst>
          </xdr:cNvPr>
          <xdr:cNvSpPr/>
        </xdr:nvSpPr>
        <xdr:spPr>
          <a:xfrm>
            <a:off x="9513433" y="1017472"/>
            <a:ext cx="4052888" cy="901135"/>
          </a:xfrm>
          <a:prstGeom prst="roundRect">
            <a:avLst>
              <a:gd name="adj" fmla="val 100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R$ 7.633,00</a:t>
            </a:r>
          </a:p>
        </xdr:txBody>
      </xdr:sp>
      <xdr:sp macro="" textlink="C̳álculos!E24">
        <xdr:nvSpPr>
          <xdr:cNvPr id="34" name="CaixaDeTexto 33">
            <a:extLst>
              <a:ext uri="{FF2B5EF4-FFF2-40B4-BE49-F238E27FC236}">
                <a16:creationId xmlns:a16="http://schemas.microsoft.com/office/drawing/2014/main" id="{31856E59-D4D4-FFE6-5EA0-BAD9252C91D3}"/>
              </a:ext>
            </a:extLst>
          </xdr:cNvPr>
          <xdr:cNvSpPr txBox="1"/>
        </xdr:nvSpPr>
        <xdr:spPr>
          <a:xfrm>
            <a:off x="10850599" y="1364317"/>
            <a:ext cx="2657628" cy="4448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53C43F0F-FC52-4C5D-924B-78B9050C8F47}" type="TxLink">
              <a:rPr lang="en-US" sz="24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R$ 2.940,00</a:t>
            </a:fld>
            <a:endParaRPr lang="en-US" sz="24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2382B318-E246-10A6-2C20-ECCC3B967F3B}"/>
              </a:ext>
            </a:extLst>
          </xdr:cNvPr>
          <xdr:cNvSpPr/>
        </xdr:nvSpPr>
        <xdr:spPr>
          <a:xfrm>
            <a:off x="9613094" y="1079951"/>
            <a:ext cx="3853564" cy="216273"/>
          </a:xfrm>
          <a:prstGeom prst="roundRect">
            <a:avLst>
              <a:gd name="adj" fmla="val 0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Total de Assinaturas do EA Play Season Pass</a:t>
            </a:r>
          </a:p>
        </xdr:txBody>
      </xdr:sp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2033938E-437C-4053-8744-4060B90003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71969" y="990921"/>
            <a:ext cx="1205473" cy="120547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71192</xdr:colOff>
      <xdr:row>13</xdr:row>
      <xdr:rowOff>155864</xdr:rowOff>
    </xdr:from>
    <xdr:to>
      <xdr:col>10</xdr:col>
      <xdr:colOff>510409</xdr:colOff>
      <xdr:row>22</xdr:row>
      <xdr:rowOff>155864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093DB6BA-F584-667A-8CBB-CEE2B7995491}"/>
            </a:ext>
          </a:extLst>
        </xdr:cNvPr>
        <xdr:cNvGrpSpPr/>
      </xdr:nvGrpSpPr>
      <xdr:grpSpPr>
        <a:xfrm>
          <a:off x="2668919" y="2874819"/>
          <a:ext cx="5530763" cy="1714500"/>
          <a:chOff x="13720762" y="1014493"/>
          <a:chExt cx="4052888" cy="901135"/>
        </a:xfrm>
        <a:effectLst/>
      </xdr:grpSpPr>
      <xdr:grpSp>
        <xdr:nvGrpSpPr>
          <xdr:cNvPr id="50" name="Agrupar 49">
            <a:extLst>
              <a:ext uri="{FF2B5EF4-FFF2-40B4-BE49-F238E27FC236}">
                <a16:creationId xmlns:a16="http://schemas.microsoft.com/office/drawing/2014/main" id="{9720E09A-285C-9E29-F79A-A1770E9DAB1E}"/>
              </a:ext>
            </a:extLst>
          </xdr:cNvPr>
          <xdr:cNvGrpSpPr/>
        </xdr:nvGrpSpPr>
        <xdr:grpSpPr>
          <a:xfrm>
            <a:off x="13720762" y="1014493"/>
            <a:ext cx="4052888" cy="901135"/>
            <a:chOff x="13720762" y="1006586"/>
            <a:chExt cx="4052888" cy="901135"/>
          </a:xfr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42" name="Retângulo: Cantos Arredondados 41">
              <a:extLst>
                <a:ext uri="{FF2B5EF4-FFF2-40B4-BE49-F238E27FC236}">
                  <a16:creationId xmlns:a16="http://schemas.microsoft.com/office/drawing/2014/main" id="{9CD6CEFF-5424-4E86-47F3-ED14BE7E32A0}"/>
                </a:ext>
              </a:extLst>
            </xdr:cNvPr>
            <xdr:cNvSpPr/>
          </xdr:nvSpPr>
          <xdr:spPr>
            <a:xfrm>
              <a:off x="13720762" y="1006586"/>
              <a:ext cx="4052888" cy="901135"/>
            </a:xfrm>
            <a:prstGeom prst="roundRect">
              <a:avLst>
                <a:gd name="adj" fmla="val 100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/>
                <a:t>R$ 7.633,00</a:t>
              </a:r>
            </a:p>
          </xdr:txBody>
        </xdr:sp>
        <xdr:sp macro="" textlink="C̳álculos!E35">
          <xdr:nvSpPr>
            <xdr:cNvPr id="43" name="CaixaDeTexto 42">
              <a:extLst>
                <a:ext uri="{FF2B5EF4-FFF2-40B4-BE49-F238E27FC236}">
                  <a16:creationId xmlns:a16="http://schemas.microsoft.com/office/drawing/2014/main" id="{3633BBC7-2234-448C-05E0-D3F02FD20DAD}"/>
                </a:ext>
              </a:extLst>
            </xdr:cNvPr>
            <xdr:cNvSpPr txBox="1"/>
          </xdr:nvSpPr>
          <xdr:spPr>
            <a:xfrm>
              <a:off x="15057928" y="1353431"/>
              <a:ext cx="2657628" cy="44486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966AB865-6FEA-423D-9C73-46ADF1231534}" type="TxLink">
                <a:rPr lang="en-US" sz="24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R$ 3.880,00</a:t>
              </a:fld>
              <a:endParaRPr lang="en-US" sz="24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44" name="Retângulo: Cantos Arredondados 43">
              <a:extLst>
                <a:ext uri="{FF2B5EF4-FFF2-40B4-BE49-F238E27FC236}">
                  <a16:creationId xmlns:a16="http://schemas.microsoft.com/office/drawing/2014/main" id="{999DCE47-1039-43A9-F89E-846A28CF4B27}"/>
                </a:ext>
              </a:extLst>
            </xdr:cNvPr>
            <xdr:cNvSpPr/>
          </xdr:nvSpPr>
          <xdr:spPr>
            <a:xfrm>
              <a:off x="13820423" y="1069065"/>
              <a:ext cx="3853564" cy="216273"/>
            </a:xfrm>
            <a:prstGeom prst="roundRect">
              <a:avLst>
                <a:gd name="adj" fmla="val 0"/>
              </a:avLst>
            </a:prstGeom>
            <a:solidFill>
              <a:schemeClr val="tx1">
                <a:lumMod val="65000"/>
                <a:lumOff val="3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Total de Assinaturas Minecraft Season Pass</a:t>
              </a:r>
            </a:p>
          </xdr:txBody>
        </xdr:sp>
      </xdr:grpSp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43C87F02-A9DC-44A2-8439-406BB96ADEFC}"/>
              </a:ext>
            </a:extLst>
          </xdr:cNvPr>
          <xdr:cNvGrpSpPr/>
        </xdr:nvGrpSpPr>
        <xdr:grpSpPr>
          <a:xfrm>
            <a:off x="14018110" y="1363116"/>
            <a:ext cx="1262828" cy="437128"/>
            <a:chOff x="3432847" y="5378564"/>
            <a:chExt cx="2084075" cy="863332"/>
          </a:xfrm>
        </xdr:grpSpPr>
        <xdr:pic>
          <xdr:nvPicPr>
            <xdr:cNvPr id="47" name="Imagem 46">
              <a:extLst>
                <a:ext uri="{FF2B5EF4-FFF2-40B4-BE49-F238E27FC236}">
                  <a16:creationId xmlns:a16="http://schemas.microsoft.com/office/drawing/2014/main" id="{81AC1C96-6D97-E3D4-2868-7440ED54EF6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103326" y="5378564"/>
              <a:ext cx="747155" cy="819925"/>
            </a:xfrm>
            <a:prstGeom prst="rect">
              <a:avLst/>
            </a:prstGeom>
          </xdr:spPr>
        </xdr:pic>
        <xdr:pic>
          <xdr:nvPicPr>
            <xdr:cNvPr id="48" name="Gráfico 47">
              <a:extLst>
                <a:ext uri="{FF2B5EF4-FFF2-40B4-BE49-F238E27FC236}">
                  <a16:creationId xmlns:a16="http://schemas.microsoft.com/office/drawing/2014/main" id="{B0B0963C-74A4-FF9B-D7DF-5BC1DAF716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3432847" y="5895939"/>
              <a:ext cx="2084075" cy="345957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103908</xdr:colOff>
      <xdr:row>31</xdr:row>
      <xdr:rowOff>242447</xdr:rowOff>
    </xdr:from>
    <xdr:to>
      <xdr:col>0</xdr:col>
      <xdr:colOff>2494308</xdr:colOff>
      <xdr:row>37</xdr:row>
      <xdr:rowOff>103908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7" name="Auto Renewal">
              <a:extLst>
                <a:ext uri="{FF2B5EF4-FFF2-40B4-BE49-F238E27FC236}">
                  <a16:creationId xmlns:a16="http://schemas.microsoft.com/office/drawing/2014/main" id="{28575980-5E6C-479F-94CB-9041BC370AF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08" y="6390402"/>
              <a:ext cx="2390400" cy="1056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121227</xdr:colOff>
      <xdr:row>6</xdr:row>
      <xdr:rowOff>51955</xdr:rowOff>
    </xdr:from>
    <xdr:to>
      <xdr:col>0</xdr:col>
      <xdr:colOff>2511627</xdr:colOff>
      <xdr:row>16</xdr:row>
      <xdr:rowOff>86591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ês">
              <a:extLst>
                <a:ext uri="{FF2B5EF4-FFF2-40B4-BE49-F238E27FC236}">
                  <a16:creationId xmlns:a16="http://schemas.microsoft.com/office/drawing/2014/main" id="{BCE7420F-D8B4-4B79-888B-18B4B9BF3FC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227" y="1212273"/>
              <a:ext cx="2390400" cy="2164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25</xdr:col>
      <xdr:colOff>311720</xdr:colOff>
      <xdr:row>23</xdr:row>
      <xdr:rowOff>34637</xdr:rowOff>
    </xdr:from>
    <xdr:to>
      <xdr:col>30</xdr:col>
      <xdr:colOff>51955</xdr:colOff>
      <xdr:row>41</xdr:row>
      <xdr:rowOff>173182</xdr:rowOff>
    </xdr:to>
    <xdr:graphicFrame macro="">
      <xdr:nvGraphicFramePr>
        <xdr:cNvPr id="8" name="Gráfico 3">
          <a:extLst>
            <a:ext uri="{FF2B5EF4-FFF2-40B4-BE49-F238E27FC236}">
              <a16:creationId xmlns:a16="http://schemas.microsoft.com/office/drawing/2014/main" id="{1B3073F4-06A5-450F-8599-4380AE5E6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51954</xdr:colOff>
      <xdr:row>23</xdr:row>
      <xdr:rowOff>34634</xdr:rowOff>
    </xdr:from>
    <xdr:to>
      <xdr:col>35</xdr:col>
      <xdr:colOff>484909</xdr:colOff>
      <xdr:row>41</xdr:row>
      <xdr:rowOff>173182</xdr:rowOff>
    </xdr:to>
    <xdr:graphicFrame macro="">
      <xdr:nvGraphicFramePr>
        <xdr:cNvPr id="10" name="Gráfico 4">
          <a:extLst>
            <a:ext uri="{FF2B5EF4-FFF2-40B4-BE49-F238E27FC236}">
              <a16:creationId xmlns:a16="http://schemas.microsoft.com/office/drawing/2014/main" id="{764A15B0-5D1A-496F-93AA-9CB9AA6D3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155864</xdr:colOff>
      <xdr:row>0</xdr:row>
      <xdr:rowOff>103909</xdr:rowOff>
    </xdr:from>
    <xdr:to>
      <xdr:col>35</xdr:col>
      <xdr:colOff>467591</xdr:colOff>
      <xdr:row>2</xdr:row>
      <xdr:rowOff>51956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AFAB16B0-70A4-0773-0398-81EF59B83F4A}"/>
            </a:ext>
          </a:extLst>
        </xdr:cNvPr>
        <xdr:cNvSpPr txBox="1"/>
      </xdr:nvSpPr>
      <xdr:spPr>
        <a:xfrm>
          <a:off x="2753591" y="103909"/>
          <a:ext cx="20383500" cy="640774"/>
        </a:xfrm>
        <a:prstGeom prst="rect">
          <a:avLst/>
        </a:prstGeom>
        <a:solidFill>
          <a:srgbClr val="22C55E"/>
        </a:solidFill>
        <a:ln w="9525" cmpd="sng">
          <a:solidFill>
            <a:srgbClr val="2AE6B1"/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3d>
            <a:bevelB w="38100" h="38100"/>
          </a:sp3d>
        </a:bodyPr>
        <a:lstStyle/>
        <a:p>
          <a:pPr algn="ctr"/>
          <a:r>
            <a:rPr lang="pt-BR" sz="3600" b="1">
              <a:solidFill>
                <a:schemeClr val="bg1"/>
              </a:solidFill>
              <a:effectLst>
                <a:outerShdw blurRad="50800" dist="38100" dir="6900000" algn="tr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</a:rPr>
            <a:t>DASHBOARD DE VENDAS</a:t>
          </a:r>
        </a:p>
      </xdr:txBody>
    </xdr:sp>
    <xdr:clientData/>
  </xdr:twoCellAnchor>
  <xdr:twoCellAnchor editAs="oneCell">
    <xdr:from>
      <xdr:col>2</xdr:col>
      <xdr:colOff>121230</xdr:colOff>
      <xdr:row>0</xdr:row>
      <xdr:rowOff>173184</xdr:rowOff>
    </xdr:from>
    <xdr:to>
      <xdr:col>2</xdr:col>
      <xdr:colOff>531731</xdr:colOff>
      <xdr:row>1</xdr:row>
      <xdr:rowOff>393185</xdr:rowOff>
    </xdr:to>
    <xdr:pic>
      <xdr:nvPicPr>
        <xdr:cNvPr id="20" name="Gráfico 19" descr="Gráfico de barras com preenchimento sólido">
          <a:extLst>
            <a:ext uri="{FF2B5EF4-FFF2-40B4-BE49-F238E27FC236}">
              <a16:creationId xmlns:a16="http://schemas.microsoft.com/office/drawing/2014/main" id="{44DD2116-9EC1-4852-BC05-10EE8953C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alphaModFix amt="70000"/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61412" y="173184"/>
          <a:ext cx="410501" cy="41050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121226</xdr:colOff>
      <xdr:row>1</xdr:row>
      <xdr:rowOff>97721</xdr:rowOff>
    </xdr:from>
    <xdr:to>
      <xdr:col>0</xdr:col>
      <xdr:colOff>1039091</xdr:colOff>
      <xdr:row>1</xdr:row>
      <xdr:rowOff>382520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CF0793F1-95CA-474F-9BCB-D38FE13C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226" y="288221"/>
          <a:ext cx="917865" cy="284799"/>
        </a:xfrm>
        <a:prstGeom prst="rect">
          <a:avLst/>
        </a:prstGeom>
      </xdr:spPr>
    </xdr:pic>
    <xdr:clientData/>
  </xdr:twoCellAnchor>
  <xdr:twoCellAnchor editAs="oneCell">
    <xdr:from>
      <xdr:col>0</xdr:col>
      <xdr:colOff>969820</xdr:colOff>
      <xdr:row>0</xdr:row>
      <xdr:rowOff>138545</xdr:rowOff>
    </xdr:from>
    <xdr:to>
      <xdr:col>1</xdr:col>
      <xdr:colOff>51956</xdr:colOff>
      <xdr:row>2</xdr:row>
      <xdr:rowOff>40811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EB8B55A6-1A2E-4B79-933D-70B6D5F94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20" y="138545"/>
          <a:ext cx="1679863" cy="594993"/>
        </a:xfrm>
        <a:prstGeom prst="rect">
          <a:avLst/>
        </a:prstGeom>
      </xdr:spPr>
    </xdr:pic>
    <xdr:clientData/>
  </xdr:twoCellAnchor>
  <xdr:twoCellAnchor editAs="oneCell">
    <xdr:from>
      <xdr:col>0</xdr:col>
      <xdr:colOff>86596</xdr:colOff>
      <xdr:row>3</xdr:row>
      <xdr:rowOff>86597</xdr:rowOff>
    </xdr:from>
    <xdr:to>
      <xdr:col>0</xdr:col>
      <xdr:colOff>415636</xdr:colOff>
      <xdr:row>6</xdr:row>
      <xdr:rowOff>51955</xdr:rowOff>
    </xdr:to>
    <xdr:pic>
      <xdr:nvPicPr>
        <xdr:cNvPr id="25" name="Gráfico 24" descr="Filtro com preenchimento sólido">
          <a:extLst>
            <a:ext uri="{FF2B5EF4-FFF2-40B4-BE49-F238E27FC236}">
              <a16:creationId xmlns:a16="http://schemas.microsoft.com/office/drawing/2014/main" id="{EE3A84F6-E04C-413A-A992-4D1A5697A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6596" y="883233"/>
          <a:ext cx="329040" cy="32904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0.0011</cdr:y>
    </cdr:from>
    <cdr:to>
      <cdr:x>1</cdr:x>
      <cdr:y>0.1173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CA519D34-0E0F-2D2F-1425-0826C0F1D9AC}"/>
            </a:ext>
          </a:extLst>
        </cdr:cNvPr>
        <cdr:cNvSpPr txBox="1"/>
      </cdr:nvSpPr>
      <cdr:spPr>
        <a:xfrm xmlns:a="http://schemas.openxmlformats.org/drawingml/2006/main">
          <a:off x="0" y="3197"/>
          <a:ext cx="5464969" cy="336981"/>
        </a:xfrm>
        <a:prstGeom xmlns:a="http://schemas.openxmlformats.org/drawingml/2006/main" prst="rect">
          <a:avLst/>
        </a:prstGeom>
        <a:solidFill xmlns:a="http://schemas.openxmlformats.org/drawingml/2006/main">
          <a:srgbClr val="22C55E"/>
        </a:solidFill>
        <a:ln xmlns:a="http://schemas.openxmlformats.org/drawingml/2006/main" cap="rnd">
          <a:solidFill>
            <a:srgbClr val="22C55E"/>
          </a:solidFill>
          <a:round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Valor de Vendas Mensais</a:t>
          </a:r>
          <a:endParaRPr lang="pt-BR" sz="18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0.00239</cdr:y>
    </cdr:from>
    <cdr:to>
      <cdr:x>1</cdr:x>
      <cdr:y>0.11593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5A4F414-77FB-99FA-B2B2-6A91C76DEE62}"/>
            </a:ext>
          </a:extLst>
        </cdr:cNvPr>
        <cdr:cNvSpPr txBox="1"/>
      </cdr:nvSpPr>
      <cdr:spPr>
        <a:xfrm xmlns:a="http://schemas.openxmlformats.org/drawingml/2006/main">
          <a:off x="0" y="8497"/>
          <a:ext cx="6225266" cy="403674"/>
        </a:xfrm>
        <a:prstGeom xmlns:a="http://schemas.openxmlformats.org/drawingml/2006/main" prst="rect">
          <a:avLst/>
        </a:prstGeom>
        <a:solidFill xmlns:a="http://schemas.openxmlformats.org/drawingml/2006/main">
          <a:srgbClr val="22C55E"/>
        </a:solidFill>
        <a:ln xmlns:a="http://schemas.openxmlformats.org/drawingml/2006/main" cap="rnd">
          <a:solidFill>
            <a:srgbClr val="22C55E"/>
          </a:solidFill>
          <a:round/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Valor por Status de Renovação</a:t>
          </a:r>
          <a:endParaRPr lang="pt-BR" sz="1800" b="1">
            <a:solidFill>
              <a:schemeClr val="bg1"/>
            </a:solidFill>
            <a:effectLst/>
          </a:endParaRPr>
        </a:p>
        <a:p xmlns:a="http://schemas.openxmlformats.org/drawingml/2006/main">
          <a:endParaRPr lang="pt-BR" sz="1100" kern="12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0.11811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957FAF1B-01F2-A267-EFE9-4C871F1201A1}"/>
            </a:ext>
          </a:extLst>
        </cdr:cNvPr>
        <cdr:cNvSpPr txBox="1"/>
      </cdr:nvSpPr>
      <cdr:spPr>
        <a:xfrm xmlns:a="http://schemas.openxmlformats.org/drawingml/2006/main">
          <a:off x="0" y="0"/>
          <a:ext cx="8692336" cy="426766"/>
        </a:xfrm>
        <a:prstGeom xmlns:a="http://schemas.openxmlformats.org/drawingml/2006/main" prst="rect">
          <a:avLst/>
        </a:prstGeom>
        <a:solidFill xmlns:a="http://schemas.openxmlformats.org/drawingml/2006/main">
          <a:srgbClr val="22C55E"/>
        </a:solidFill>
        <a:ln xmlns:a="http://schemas.openxmlformats.org/drawingml/2006/main" cap="rnd">
          <a:solidFill>
            <a:srgbClr val="22C55E"/>
          </a:solidFill>
          <a:round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Valor de Vendas com Cupons de Descontos Mensais</a:t>
          </a:r>
          <a:endParaRPr lang="pt-BR" sz="1800" kern="12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0.11848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32C2FF63-5C87-2C89-76FC-C999C26D21D5}"/>
            </a:ext>
          </a:extLst>
        </cdr:cNvPr>
        <cdr:cNvSpPr txBox="1"/>
      </cdr:nvSpPr>
      <cdr:spPr>
        <a:xfrm xmlns:a="http://schemas.openxmlformats.org/drawingml/2006/main">
          <a:off x="0" y="0"/>
          <a:ext cx="2770917" cy="428849"/>
        </a:xfrm>
        <a:prstGeom xmlns:a="http://schemas.openxmlformats.org/drawingml/2006/main" prst="rect">
          <a:avLst/>
        </a:prstGeom>
        <a:solidFill xmlns:a="http://schemas.openxmlformats.org/drawingml/2006/main">
          <a:srgbClr val="22C55E"/>
        </a:solidFill>
        <a:ln xmlns:a="http://schemas.openxmlformats.org/drawingml/2006/main" cap="rnd">
          <a:solidFill>
            <a:srgbClr val="22C55E"/>
          </a:solidFill>
          <a:round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de Cupons Utilizados</a:t>
          </a:r>
          <a:endParaRPr lang="pt-BR" sz="1800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0.11962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49A6FD7-BDDA-3250-980A-D6C132E23592}"/>
            </a:ext>
          </a:extLst>
        </cdr:cNvPr>
        <cdr:cNvSpPr txBox="1"/>
      </cdr:nvSpPr>
      <cdr:spPr>
        <a:xfrm xmlns:a="http://schemas.openxmlformats.org/drawingml/2006/main">
          <a:off x="0" y="0"/>
          <a:ext cx="3463637" cy="432956"/>
        </a:xfrm>
        <a:prstGeom xmlns:a="http://schemas.openxmlformats.org/drawingml/2006/main" prst="rect">
          <a:avLst/>
        </a:prstGeom>
        <a:solidFill xmlns:a="http://schemas.openxmlformats.org/drawingml/2006/main">
          <a:srgbClr val="22C55E"/>
        </a:solidFill>
        <a:ln xmlns:a="http://schemas.openxmlformats.org/drawingml/2006/main" cap="rnd">
          <a:solidFill>
            <a:srgbClr val="22C55E"/>
          </a:solidFill>
          <a:round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% de Cupons Utilizados</a:t>
          </a:r>
          <a:endParaRPr lang="pt-BR" sz="18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SOUZA" refreshedDate="46030.517358912039" createdVersion="8" refreshedVersion="8" minRefreshableVersion="3" recordCount="295" xr:uid="{0E7F1D3E-3AE1-4C8C-801B-73C3A7D54B91}">
  <cacheSource type="worksheet">
    <worksheetSource name="Tabela1"/>
  </cacheSource>
  <cacheFields count="16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5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  <cacheField name="Use Cupon" numFmtId="44">
      <sharedItems count="2">
        <s v="Yes"/>
        <s v="No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8197558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x v="0"/>
    <x v="0"/>
    <n v="15"/>
    <x v="0"/>
    <s v="Yes"/>
    <n v="30"/>
    <s v="Yes"/>
    <n v="20"/>
    <x v="0"/>
    <n v="60"/>
    <x v="0"/>
  </r>
  <r>
    <x v="1"/>
    <s v="Maria Oliveira"/>
    <x v="1"/>
    <x v="1"/>
    <x v="1"/>
    <n v="5"/>
    <x v="1"/>
    <s v="No"/>
    <s v="-"/>
    <s v="No"/>
    <n v="0"/>
    <x v="1"/>
    <n v="5"/>
    <x v="1"/>
  </r>
  <r>
    <x v="2"/>
    <s v="Lucas Fernandes"/>
    <x v="2"/>
    <x v="2"/>
    <x v="0"/>
    <n v="10"/>
    <x v="2"/>
    <s v="No"/>
    <s v="-"/>
    <s v="Yes"/>
    <n v="20"/>
    <x v="2"/>
    <n v="20"/>
    <x v="0"/>
  </r>
  <r>
    <x v="3"/>
    <s v="Ana Souza"/>
    <x v="0"/>
    <x v="3"/>
    <x v="1"/>
    <n v="15"/>
    <x v="0"/>
    <s v="Yes"/>
    <n v="30"/>
    <s v="Yes"/>
    <n v="20"/>
    <x v="3"/>
    <n v="62"/>
    <x v="0"/>
  </r>
  <r>
    <x v="4"/>
    <s v="Pedro Gonçalves"/>
    <x v="1"/>
    <x v="4"/>
    <x v="0"/>
    <n v="5"/>
    <x v="0"/>
    <s v="No"/>
    <s v="-"/>
    <s v="No"/>
    <n v="0"/>
    <x v="4"/>
    <n v="4"/>
    <x v="0"/>
  </r>
  <r>
    <x v="5"/>
    <s v="Felipe Costa"/>
    <x v="2"/>
    <x v="5"/>
    <x v="1"/>
    <n v="10"/>
    <x v="0"/>
    <s v="No"/>
    <s v="-"/>
    <s v="Yes"/>
    <n v="20"/>
    <x v="5"/>
    <n v="28"/>
    <x v="0"/>
  </r>
  <r>
    <x v="6"/>
    <s v="Camila Ribeiro"/>
    <x v="0"/>
    <x v="6"/>
    <x v="0"/>
    <n v="15"/>
    <x v="2"/>
    <s v="Yes"/>
    <n v="30"/>
    <s v="Yes"/>
    <n v="20"/>
    <x v="2"/>
    <n v="55"/>
    <x v="0"/>
  </r>
  <r>
    <x v="7"/>
    <s v="André Mendes"/>
    <x v="1"/>
    <x v="7"/>
    <x v="0"/>
    <n v="5"/>
    <x v="1"/>
    <s v="No"/>
    <s v="-"/>
    <s v="No"/>
    <n v="0"/>
    <x v="1"/>
    <n v="5"/>
    <x v="1"/>
  </r>
  <r>
    <x v="8"/>
    <s v="Sofia Almeida"/>
    <x v="0"/>
    <x v="4"/>
    <x v="1"/>
    <n v="15"/>
    <x v="0"/>
    <s v="Yes"/>
    <n v="30"/>
    <s v="Yes"/>
    <n v="20"/>
    <x v="0"/>
    <n v="60"/>
    <x v="0"/>
  </r>
  <r>
    <x v="9"/>
    <s v="Bruno Martins"/>
    <x v="2"/>
    <x v="8"/>
    <x v="0"/>
    <n v="10"/>
    <x v="2"/>
    <s v="No"/>
    <s v="-"/>
    <s v="Yes"/>
    <n v="20"/>
    <x v="6"/>
    <n v="15"/>
    <x v="0"/>
  </r>
  <r>
    <x v="10"/>
    <s v="Rita Castro"/>
    <x v="1"/>
    <x v="9"/>
    <x v="1"/>
    <n v="5"/>
    <x v="0"/>
    <s v="No"/>
    <s v="-"/>
    <s v="No"/>
    <n v="0"/>
    <x v="4"/>
    <n v="4"/>
    <x v="0"/>
  </r>
  <r>
    <x v="11"/>
    <s v="Marco Túlio"/>
    <x v="0"/>
    <x v="10"/>
    <x v="0"/>
    <n v="15"/>
    <x v="1"/>
    <s v="Yes"/>
    <n v="30"/>
    <s v="Yes"/>
    <n v="20"/>
    <x v="7"/>
    <n v="45"/>
    <x v="0"/>
  </r>
  <r>
    <x v="12"/>
    <s v="Lívia Silveira"/>
    <x v="2"/>
    <x v="11"/>
    <x v="1"/>
    <n v="10"/>
    <x v="0"/>
    <s v="No"/>
    <s v="-"/>
    <s v="Yes"/>
    <n v="20"/>
    <x v="2"/>
    <n v="20"/>
    <x v="0"/>
  </r>
  <r>
    <x v="13"/>
    <s v="Diogo Sousa"/>
    <x v="1"/>
    <x v="12"/>
    <x v="0"/>
    <n v="5"/>
    <x v="2"/>
    <s v="No"/>
    <s v="-"/>
    <s v="No"/>
    <n v="0"/>
    <x v="1"/>
    <n v="5"/>
    <x v="1"/>
  </r>
  <r>
    <x v="14"/>
    <s v="Fernanda Lima"/>
    <x v="0"/>
    <x v="13"/>
    <x v="1"/>
    <n v="15"/>
    <x v="0"/>
    <s v="Yes"/>
    <n v="30"/>
    <s v="Yes"/>
    <n v="20"/>
    <x v="8"/>
    <n v="57"/>
    <x v="0"/>
  </r>
  <r>
    <x v="15"/>
    <s v="Caio Pereira"/>
    <x v="2"/>
    <x v="14"/>
    <x v="0"/>
    <n v="10"/>
    <x v="1"/>
    <s v="No"/>
    <s v="-"/>
    <s v="Yes"/>
    <n v="20"/>
    <x v="9"/>
    <n v="18"/>
    <x v="0"/>
  </r>
  <r>
    <x v="16"/>
    <s v="Beatriz Gomes"/>
    <x v="1"/>
    <x v="15"/>
    <x v="1"/>
    <n v="5"/>
    <x v="0"/>
    <s v="No"/>
    <s v="-"/>
    <s v="No"/>
    <n v="0"/>
    <x v="5"/>
    <n v="3"/>
    <x v="0"/>
  </r>
  <r>
    <x v="17"/>
    <s v="Cesar Oliveira"/>
    <x v="0"/>
    <x v="16"/>
    <x v="0"/>
    <n v="15"/>
    <x v="2"/>
    <s v="Yes"/>
    <n v="30"/>
    <s v="Yes"/>
    <n v="20"/>
    <x v="10"/>
    <n v="58"/>
    <x v="0"/>
  </r>
  <r>
    <x v="18"/>
    <s v="Débora Machado"/>
    <x v="2"/>
    <x v="17"/>
    <x v="1"/>
    <n v="10"/>
    <x v="0"/>
    <s v="No"/>
    <s v="-"/>
    <s v="Yes"/>
    <n v="20"/>
    <x v="0"/>
    <n v="25"/>
    <x v="0"/>
  </r>
  <r>
    <x v="19"/>
    <s v="Eduardo Vargas"/>
    <x v="1"/>
    <x v="18"/>
    <x v="0"/>
    <n v="5"/>
    <x v="1"/>
    <s v="No"/>
    <s v="-"/>
    <s v="No"/>
    <n v="0"/>
    <x v="1"/>
    <n v="5"/>
    <x v="1"/>
  </r>
  <r>
    <x v="20"/>
    <s v="Gabriela Santos"/>
    <x v="0"/>
    <x v="19"/>
    <x v="1"/>
    <n v="15"/>
    <x v="0"/>
    <s v="Yes"/>
    <n v="30"/>
    <s v="Yes"/>
    <n v="20"/>
    <x v="3"/>
    <n v="62"/>
    <x v="0"/>
  </r>
  <r>
    <x v="21"/>
    <s v="Henrique Dias"/>
    <x v="2"/>
    <x v="20"/>
    <x v="0"/>
    <n v="10"/>
    <x v="2"/>
    <s v="No"/>
    <s v="-"/>
    <s v="Yes"/>
    <n v="20"/>
    <x v="6"/>
    <n v="15"/>
    <x v="0"/>
  </r>
  <r>
    <x v="22"/>
    <s v="Isabela Moreira"/>
    <x v="1"/>
    <x v="21"/>
    <x v="1"/>
    <n v="5"/>
    <x v="0"/>
    <s v="No"/>
    <s v="-"/>
    <s v="No"/>
    <n v="0"/>
    <x v="4"/>
    <n v="4"/>
    <x v="0"/>
  </r>
  <r>
    <x v="23"/>
    <s v="Joaquim Barbosa"/>
    <x v="0"/>
    <x v="22"/>
    <x v="0"/>
    <n v="15"/>
    <x v="1"/>
    <s v="Yes"/>
    <n v="30"/>
    <s v="Yes"/>
    <n v="20"/>
    <x v="7"/>
    <n v="45"/>
    <x v="0"/>
  </r>
  <r>
    <x v="24"/>
    <s v="Lara Rocha"/>
    <x v="2"/>
    <x v="23"/>
    <x v="1"/>
    <n v="10"/>
    <x v="0"/>
    <s v="No"/>
    <s v="-"/>
    <s v="Yes"/>
    <n v="20"/>
    <x v="2"/>
    <n v="20"/>
    <x v="0"/>
  </r>
  <r>
    <x v="25"/>
    <s v="Matheus Silva"/>
    <x v="1"/>
    <x v="24"/>
    <x v="0"/>
    <n v="5"/>
    <x v="2"/>
    <s v="No"/>
    <s v="-"/>
    <s v="No"/>
    <n v="0"/>
    <x v="1"/>
    <n v="5"/>
    <x v="1"/>
  </r>
  <r>
    <x v="26"/>
    <s v="Nicole Costa"/>
    <x v="0"/>
    <x v="25"/>
    <x v="1"/>
    <n v="15"/>
    <x v="0"/>
    <s v="Yes"/>
    <n v="30"/>
    <s v="Yes"/>
    <n v="20"/>
    <x v="0"/>
    <n v="60"/>
    <x v="0"/>
  </r>
  <r>
    <x v="27"/>
    <s v="Otávio Mendonça"/>
    <x v="2"/>
    <x v="26"/>
    <x v="0"/>
    <n v="10"/>
    <x v="1"/>
    <s v="No"/>
    <s v="-"/>
    <s v="Yes"/>
    <n v="20"/>
    <x v="6"/>
    <n v="15"/>
    <x v="0"/>
  </r>
  <r>
    <x v="28"/>
    <s v="Paula Ferreira"/>
    <x v="1"/>
    <x v="27"/>
    <x v="1"/>
    <n v="5"/>
    <x v="0"/>
    <s v="No"/>
    <s v="-"/>
    <s v="No"/>
    <n v="0"/>
    <x v="4"/>
    <n v="4"/>
    <x v="0"/>
  </r>
  <r>
    <x v="29"/>
    <s v="Raquel Alves"/>
    <x v="0"/>
    <x v="28"/>
    <x v="0"/>
    <n v="15"/>
    <x v="2"/>
    <s v="Yes"/>
    <n v="30"/>
    <s v="Yes"/>
    <n v="20"/>
    <x v="10"/>
    <n v="58"/>
    <x v="0"/>
  </r>
  <r>
    <x v="30"/>
    <s v="Samuel Pires"/>
    <x v="2"/>
    <x v="29"/>
    <x v="1"/>
    <n v="10"/>
    <x v="0"/>
    <s v="No"/>
    <s v="-"/>
    <s v="Yes"/>
    <n v="20"/>
    <x v="2"/>
    <n v="20"/>
    <x v="0"/>
  </r>
  <r>
    <x v="31"/>
    <s v="Tânia Barros"/>
    <x v="1"/>
    <x v="30"/>
    <x v="0"/>
    <n v="5"/>
    <x v="1"/>
    <s v="No"/>
    <s v="-"/>
    <s v="No"/>
    <n v="0"/>
    <x v="1"/>
    <n v="5"/>
    <x v="1"/>
  </r>
  <r>
    <x v="32"/>
    <s v="Vinicius Lima"/>
    <x v="0"/>
    <x v="31"/>
    <x v="1"/>
    <n v="15"/>
    <x v="0"/>
    <s v="Yes"/>
    <n v="30"/>
    <s v="Yes"/>
    <n v="20"/>
    <x v="3"/>
    <n v="62"/>
    <x v="0"/>
  </r>
  <r>
    <x v="33"/>
    <s v="Yasmin Teixeira"/>
    <x v="2"/>
    <x v="32"/>
    <x v="0"/>
    <n v="10"/>
    <x v="2"/>
    <s v="No"/>
    <s v="-"/>
    <s v="Yes"/>
    <n v="20"/>
    <x v="6"/>
    <n v="15"/>
    <x v="0"/>
  </r>
  <r>
    <x v="34"/>
    <s v="Zé Carlos"/>
    <x v="1"/>
    <x v="33"/>
    <x v="1"/>
    <n v="5"/>
    <x v="0"/>
    <s v="No"/>
    <s v="-"/>
    <s v="No"/>
    <n v="0"/>
    <x v="4"/>
    <n v="4"/>
    <x v="0"/>
  </r>
  <r>
    <x v="35"/>
    <s v="Amanda Nogueira"/>
    <x v="1"/>
    <x v="34"/>
    <x v="0"/>
    <n v="5"/>
    <x v="0"/>
    <s v="No"/>
    <s v="-"/>
    <s v="No"/>
    <n v="0"/>
    <x v="1"/>
    <n v="5"/>
    <x v="1"/>
  </r>
  <r>
    <x v="36"/>
    <s v="Bruno Cavalheiro"/>
    <x v="0"/>
    <x v="35"/>
    <x v="1"/>
    <n v="15"/>
    <x v="2"/>
    <s v="Yes"/>
    <n v="30"/>
    <s v="Yes"/>
    <n v="20"/>
    <x v="10"/>
    <n v="58"/>
    <x v="0"/>
  </r>
  <r>
    <x v="37"/>
    <s v="Carla Dias"/>
    <x v="2"/>
    <x v="36"/>
    <x v="0"/>
    <n v="10"/>
    <x v="1"/>
    <s v="No"/>
    <s v="-"/>
    <s v="Yes"/>
    <n v="20"/>
    <x v="2"/>
    <n v="20"/>
    <x v="0"/>
  </r>
  <r>
    <x v="38"/>
    <s v="Diego Fontes"/>
    <x v="1"/>
    <x v="37"/>
    <x v="1"/>
    <n v="5"/>
    <x v="2"/>
    <s v="No"/>
    <s v="-"/>
    <s v="No"/>
    <n v="0"/>
    <x v="4"/>
    <n v="4"/>
    <x v="0"/>
  </r>
  <r>
    <x v="39"/>
    <s v="Eunice Lima"/>
    <x v="0"/>
    <x v="38"/>
    <x v="0"/>
    <n v="15"/>
    <x v="0"/>
    <s v="Yes"/>
    <n v="30"/>
    <s v="Yes"/>
    <n v="20"/>
    <x v="6"/>
    <n v="50"/>
    <x v="0"/>
  </r>
  <r>
    <x v="40"/>
    <s v="Fábio Martins"/>
    <x v="2"/>
    <x v="39"/>
    <x v="1"/>
    <n v="10"/>
    <x v="0"/>
    <s v="No"/>
    <s v="-"/>
    <s v="Yes"/>
    <n v="20"/>
    <x v="0"/>
    <n v="25"/>
    <x v="0"/>
  </r>
  <r>
    <x v="41"/>
    <s v="Gisele Araújo"/>
    <x v="1"/>
    <x v="40"/>
    <x v="0"/>
    <n v="5"/>
    <x v="1"/>
    <s v="No"/>
    <s v="-"/>
    <s v="No"/>
    <n v="0"/>
    <x v="1"/>
    <n v="5"/>
    <x v="1"/>
  </r>
  <r>
    <x v="42"/>
    <s v="Hélio Castro"/>
    <x v="0"/>
    <x v="41"/>
    <x v="1"/>
    <n v="15"/>
    <x v="2"/>
    <s v="Yes"/>
    <n v="30"/>
    <s v="Yes"/>
    <n v="20"/>
    <x v="7"/>
    <n v="45"/>
    <x v="0"/>
  </r>
  <r>
    <x v="43"/>
    <s v="Ingrid Menezes"/>
    <x v="2"/>
    <x v="42"/>
    <x v="0"/>
    <n v="10"/>
    <x v="2"/>
    <s v="No"/>
    <s v="-"/>
    <s v="Yes"/>
    <n v="20"/>
    <x v="9"/>
    <n v="18"/>
    <x v="0"/>
  </r>
  <r>
    <x v="44"/>
    <s v="Jorge Baptista"/>
    <x v="1"/>
    <x v="43"/>
    <x v="1"/>
    <n v="5"/>
    <x v="0"/>
    <s v="No"/>
    <s v="-"/>
    <s v="No"/>
    <n v="0"/>
    <x v="5"/>
    <n v="3"/>
    <x v="0"/>
  </r>
  <r>
    <x v="45"/>
    <s v="Kléber Oliveira"/>
    <x v="0"/>
    <x v="44"/>
    <x v="0"/>
    <n v="15"/>
    <x v="1"/>
    <s v="Yes"/>
    <n v="30"/>
    <s v="Yes"/>
    <n v="20"/>
    <x v="0"/>
    <n v="60"/>
    <x v="0"/>
  </r>
  <r>
    <x v="46"/>
    <s v="Luciana Freitas"/>
    <x v="2"/>
    <x v="45"/>
    <x v="1"/>
    <n v="10"/>
    <x v="0"/>
    <s v="No"/>
    <s v="-"/>
    <s v="Yes"/>
    <n v="20"/>
    <x v="2"/>
    <n v="20"/>
    <x v="0"/>
  </r>
  <r>
    <x v="47"/>
    <s v="Márcia Eller"/>
    <x v="1"/>
    <x v="46"/>
    <x v="0"/>
    <n v="5"/>
    <x v="2"/>
    <s v="No"/>
    <s v="-"/>
    <s v="No"/>
    <n v="0"/>
    <x v="1"/>
    <n v="5"/>
    <x v="1"/>
  </r>
  <r>
    <x v="48"/>
    <s v="Nilo Peçanha"/>
    <x v="0"/>
    <x v="47"/>
    <x v="1"/>
    <n v="15"/>
    <x v="0"/>
    <s v="Yes"/>
    <n v="30"/>
    <s v="Yes"/>
    <n v="20"/>
    <x v="3"/>
    <n v="62"/>
    <x v="0"/>
  </r>
  <r>
    <x v="49"/>
    <s v="Oscar Neves"/>
    <x v="2"/>
    <x v="48"/>
    <x v="0"/>
    <n v="10"/>
    <x v="1"/>
    <s v="No"/>
    <s v="-"/>
    <s v="Yes"/>
    <n v="20"/>
    <x v="6"/>
    <n v="15"/>
    <x v="0"/>
  </r>
  <r>
    <x v="50"/>
    <s v="Patrícia Soares"/>
    <x v="1"/>
    <x v="49"/>
    <x v="1"/>
    <n v="5"/>
    <x v="0"/>
    <s v="No"/>
    <s v="-"/>
    <s v="No"/>
    <n v="0"/>
    <x v="4"/>
    <n v="4"/>
    <x v="0"/>
  </r>
  <r>
    <x v="51"/>
    <s v="Quirino Gonçalves"/>
    <x v="0"/>
    <x v="50"/>
    <x v="0"/>
    <n v="15"/>
    <x v="2"/>
    <s v="Yes"/>
    <n v="30"/>
    <s v="Yes"/>
    <n v="20"/>
    <x v="10"/>
    <n v="58"/>
    <x v="0"/>
  </r>
  <r>
    <x v="52"/>
    <s v="Raul Machado"/>
    <x v="2"/>
    <x v="51"/>
    <x v="1"/>
    <n v="10"/>
    <x v="0"/>
    <s v="No"/>
    <s v="-"/>
    <s v="Yes"/>
    <n v="20"/>
    <x v="2"/>
    <n v="20"/>
    <x v="0"/>
  </r>
  <r>
    <x v="53"/>
    <s v="Sônia Lobo"/>
    <x v="1"/>
    <x v="52"/>
    <x v="0"/>
    <n v="5"/>
    <x v="1"/>
    <s v="No"/>
    <s v="-"/>
    <s v="No"/>
    <n v="0"/>
    <x v="1"/>
    <n v="5"/>
    <x v="1"/>
  </r>
  <r>
    <x v="54"/>
    <s v="Tiago Ramos"/>
    <x v="0"/>
    <x v="53"/>
    <x v="1"/>
    <n v="15"/>
    <x v="0"/>
    <s v="Yes"/>
    <n v="30"/>
    <s v="Yes"/>
    <n v="20"/>
    <x v="7"/>
    <n v="45"/>
    <x v="0"/>
  </r>
  <r>
    <x v="55"/>
    <s v="Ugo Pires"/>
    <x v="2"/>
    <x v="54"/>
    <x v="0"/>
    <n v="10"/>
    <x v="2"/>
    <s v="No"/>
    <s v="-"/>
    <s v="Yes"/>
    <n v="20"/>
    <x v="6"/>
    <n v="15"/>
    <x v="0"/>
  </r>
  <r>
    <x v="56"/>
    <s v="Valéria Nobre"/>
    <x v="1"/>
    <x v="55"/>
    <x v="1"/>
    <n v="5"/>
    <x v="0"/>
    <s v="No"/>
    <s v="-"/>
    <s v="No"/>
    <n v="0"/>
    <x v="4"/>
    <n v="4"/>
    <x v="0"/>
  </r>
  <r>
    <x v="57"/>
    <s v="William Siqueira"/>
    <x v="0"/>
    <x v="56"/>
    <x v="0"/>
    <n v="15"/>
    <x v="1"/>
    <s v="Yes"/>
    <n v="30"/>
    <s v="Yes"/>
    <n v="20"/>
    <x v="3"/>
    <n v="62"/>
    <x v="0"/>
  </r>
  <r>
    <x v="58"/>
    <s v="Xuxa Meneghel"/>
    <x v="2"/>
    <x v="57"/>
    <x v="1"/>
    <n v="10"/>
    <x v="0"/>
    <s v="No"/>
    <s v="-"/>
    <s v="Yes"/>
    <n v="20"/>
    <x v="2"/>
    <n v="20"/>
    <x v="0"/>
  </r>
  <r>
    <x v="59"/>
    <s v="Yara Figueiredo"/>
    <x v="1"/>
    <x v="58"/>
    <x v="0"/>
    <n v="5"/>
    <x v="2"/>
    <s v="No"/>
    <s v="-"/>
    <s v="No"/>
    <n v="0"/>
    <x v="1"/>
    <n v="5"/>
    <x v="1"/>
  </r>
  <r>
    <x v="60"/>
    <s v="Zacarias Alves"/>
    <x v="0"/>
    <x v="59"/>
    <x v="1"/>
    <n v="15"/>
    <x v="0"/>
    <s v="Yes"/>
    <n v="30"/>
    <s v="Yes"/>
    <n v="20"/>
    <x v="0"/>
    <n v="60"/>
    <x v="0"/>
  </r>
  <r>
    <x v="61"/>
    <s v="Amanda Bynes"/>
    <x v="2"/>
    <x v="60"/>
    <x v="0"/>
    <n v="10"/>
    <x v="1"/>
    <s v="No"/>
    <s v="-"/>
    <s v="Yes"/>
    <n v="20"/>
    <x v="6"/>
    <n v="15"/>
    <x v="0"/>
  </r>
  <r>
    <x v="62"/>
    <s v="Bruno Mars"/>
    <x v="1"/>
    <x v="61"/>
    <x v="1"/>
    <n v="5"/>
    <x v="0"/>
    <s v="No"/>
    <s v="-"/>
    <s v="No"/>
    <n v="0"/>
    <x v="4"/>
    <n v="4"/>
    <x v="0"/>
  </r>
  <r>
    <x v="63"/>
    <s v="Carla Bruni"/>
    <x v="0"/>
    <x v="62"/>
    <x v="0"/>
    <n v="15"/>
    <x v="2"/>
    <s v="Yes"/>
    <n v="30"/>
    <s v="Yes"/>
    <n v="20"/>
    <x v="7"/>
    <n v="45"/>
    <x v="0"/>
  </r>
  <r>
    <x v="64"/>
    <s v="Diego Maradona"/>
    <x v="2"/>
    <x v="63"/>
    <x v="1"/>
    <n v="10"/>
    <x v="0"/>
    <s v="No"/>
    <s v="-"/>
    <s v="Yes"/>
    <n v="20"/>
    <x v="0"/>
    <n v="25"/>
    <x v="0"/>
  </r>
  <r>
    <x v="65"/>
    <s v="Estela Marques"/>
    <x v="1"/>
    <x v="64"/>
    <x v="1"/>
    <n v="5"/>
    <x v="0"/>
    <s v="No"/>
    <s v="-"/>
    <s v="No"/>
    <n v="0"/>
    <x v="1"/>
    <n v="5"/>
    <x v="1"/>
  </r>
  <r>
    <x v="66"/>
    <s v="Fábio Nobre"/>
    <x v="0"/>
    <x v="65"/>
    <x v="0"/>
    <n v="15"/>
    <x v="2"/>
    <s v="Yes"/>
    <n v="30"/>
    <s v="Yes"/>
    <n v="20"/>
    <x v="10"/>
    <n v="58"/>
    <x v="0"/>
  </r>
  <r>
    <x v="67"/>
    <s v="Gabriel Oliveira"/>
    <x v="2"/>
    <x v="66"/>
    <x v="1"/>
    <n v="10"/>
    <x v="1"/>
    <s v="No"/>
    <s v="-"/>
    <s v="Yes"/>
    <n v="20"/>
    <x v="2"/>
    <n v="20"/>
    <x v="0"/>
  </r>
  <r>
    <x v="68"/>
    <s v="Helena Santos"/>
    <x v="1"/>
    <x v="67"/>
    <x v="0"/>
    <n v="5"/>
    <x v="2"/>
    <s v="No"/>
    <s v="-"/>
    <s v="No"/>
    <n v="0"/>
    <x v="4"/>
    <n v="4"/>
    <x v="0"/>
  </r>
  <r>
    <x v="69"/>
    <s v="Ivan Carvalho"/>
    <x v="0"/>
    <x v="68"/>
    <x v="1"/>
    <n v="15"/>
    <x v="0"/>
    <s v="Yes"/>
    <n v="30"/>
    <s v="Yes"/>
    <n v="20"/>
    <x v="6"/>
    <n v="50"/>
    <x v="0"/>
  </r>
  <r>
    <x v="70"/>
    <s v="Júlia Ferreira"/>
    <x v="2"/>
    <x v="69"/>
    <x v="0"/>
    <n v="10"/>
    <x v="0"/>
    <s v="No"/>
    <s v="-"/>
    <s v="Yes"/>
    <n v="20"/>
    <x v="0"/>
    <n v="25"/>
    <x v="0"/>
  </r>
  <r>
    <x v="71"/>
    <s v="Karla Alves"/>
    <x v="1"/>
    <x v="70"/>
    <x v="1"/>
    <n v="5"/>
    <x v="1"/>
    <s v="No"/>
    <s v="-"/>
    <s v="No"/>
    <n v="0"/>
    <x v="1"/>
    <n v="5"/>
    <x v="1"/>
  </r>
  <r>
    <x v="72"/>
    <s v="Lucas Mendes"/>
    <x v="0"/>
    <x v="71"/>
    <x v="0"/>
    <n v="15"/>
    <x v="2"/>
    <s v="Yes"/>
    <n v="30"/>
    <s v="Yes"/>
    <n v="20"/>
    <x v="7"/>
    <n v="45"/>
    <x v="0"/>
  </r>
  <r>
    <x v="73"/>
    <s v="Mônica Gomes"/>
    <x v="2"/>
    <x v="72"/>
    <x v="1"/>
    <n v="10"/>
    <x v="2"/>
    <s v="No"/>
    <s v="-"/>
    <s v="Yes"/>
    <n v="20"/>
    <x v="9"/>
    <n v="18"/>
    <x v="0"/>
  </r>
  <r>
    <x v="74"/>
    <s v="Norberto Queiroz"/>
    <x v="1"/>
    <x v="73"/>
    <x v="0"/>
    <n v="5"/>
    <x v="0"/>
    <s v="No"/>
    <s v="-"/>
    <s v="No"/>
    <n v="0"/>
    <x v="5"/>
    <n v="3"/>
    <x v="0"/>
  </r>
  <r>
    <x v="75"/>
    <s v="Otávio Barros"/>
    <x v="0"/>
    <x v="74"/>
    <x v="1"/>
    <n v="15"/>
    <x v="1"/>
    <s v="Yes"/>
    <n v="30"/>
    <s v="Yes"/>
    <n v="20"/>
    <x v="0"/>
    <n v="60"/>
    <x v="0"/>
  </r>
  <r>
    <x v="76"/>
    <s v="Paula Vieira"/>
    <x v="2"/>
    <x v="75"/>
    <x v="0"/>
    <n v="10"/>
    <x v="0"/>
    <s v="No"/>
    <s v="-"/>
    <s v="Yes"/>
    <n v="20"/>
    <x v="2"/>
    <n v="20"/>
    <x v="0"/>
  </r>
  <r>
    <x v="77"/>
    <s v="Quentin Ramos"/>
    <x v="1"/>
    <x v="76"/>
    <x v="1"/>
    <n v="5"/>
    <x v="2"/>
    <s v="No"/>
    <s v="-"/>
    <s v="No"/>
    <n v="0"/>
    <x v="1"/>
    <n v="5"/>
    <x v="1"/>
  </r>
  <r>
    <x v="78"/>
    <s v="Raquel Novaes"/>
    <x v="0"/>
    <x v="77"/>
    <x v="0"/>
    <n v="15"/>
    <x v="0"/>
    <s v="Yes"/>
    <n v="30"/>
    <s v="Yes"/>
    <n v="20"/>
    <x v="3"/>
    <n v="62"/>
    <x v="0"/>
  </r>
  <r>
    <x v="79"/>
    <s v="Samantha Lopes"/>
    <x v="2"/>
    <x v="78"/>
    <x v="1"/>
    <n v="10"/>
    <x v="1"/>
    <s v="No"/>
    <s v="-"/>
    <s v="Yes"/>
    <n v="20"/>
    <x v="6"/>
    <n v="15"/>
    <x v="0"/>
  </r>
  <r>
    <x v="80"/>
    <s v="Tiago Martins"/>
    <x v="1"/>
    <x v="79"/>
    <x v="0"/>
    <n v="5"/>
    <x v="0"/>
    <s v="No"/>
    <s v="-"/>
    <s v="No"/>
    <n v="0"/>
    <x v="4"/>
    <n v="4"/>
    <x v="0"/>
  </r>
  <r>
    <x v="81"/>
    <s v="Ulysses Guimarães"/>
    <x v="0"/>
    <x v="80"/>
    <x v="1"/>
    <n v="15"/>
    <x v="2"/>
    <s v="Yes"/>
    <n v="30"/>
    <s v="Yes"/>
    <n v="20"/>
    <x v="10"/>
    <n v="58"/>
    <x v="0"/>
  </r>
  <r>
    <x v="82"/>
    <s v="Vanessa Silva"/>
    <x v="2"/>
    <x v="81"/>
    <x v="0"/>
    <n v="10"/>
    <x v="0"/>
    <s v="No"/>
    <s v="-"/>
    <s v="Yes"/>
    <n v="20"/>
    <x v="2"/>
    <n v="20"/>
    <x v="0"/>
  </r>
  <r>
    <x v="83"/>
    <s v="William Carneiro"/>
    <x v="1"/>
    <x v="82"/>
    <x v="1"/>
    <n v="5"/>
    <x v="1"/>
    <s v="No"/>
    <s v="-"/>
    <s v="No"/>
    <n v="0"/>
    <x v="1"/>
    <n v="5"/>
    <x v="1"/>
  </r>
  <r>
    <x v="84"/>
    <s v="Ximena Rocha"/>
    <x v="0"/>
    <x v="83"/>
    <x v="0"/>
    <n v="15"/>
    <x v="0"/>
    <s v="Yes"/>
    <n v="30"/>
    <s v="Yes"/>
    <n v="20"/>
    <x v="7"/>
    <n v="45"/>
    <x v="0"/>
  </r>
  <r>
    <x v="85"/>
    <s v="Yasmin Figueiredo"/>
    <x v="2"/>
    <x v="84"/>
    <x v="1"/>
    <n v="10"/>
    <x v="2"/>
    <s v="No"/>
    <s v="-"/>
    <s v="Yes"/>
    <n v="20"/>
    <x v="6"/>
    <n v="15"/>
    <x v="0"/>
  </r>
  <r>
    <x v="86"/>
    <s v="Zara Cunha"/>
    <x v="1"/>
    <x v="85"/>
    <x v="0"/>
    <n v="5"/>
    <x v="0"/>
    <s v="No"/>
    <s v="-"/>
    <s v="No"/>
    <n v="0"/>
    <x v="4"/>
    <n v="4"/>
    <x v="0"/>
  </r>
  <r>
    <x v="87"/>
    <s v="Alan Teixeira"/>
    <x v="0"/>
    <x v="86"/>
    <x v="1"/>
    <n v="15"/>
    <x v="1"/>
    <s v="Yes"/>
    <n v="30"/>
    <s v="Yes"/>
    <n v="20"/>
    <x v="3"/>
    <n v="62"/>
    <x v="0"/>
  </r>
  <r>
    <x v="88"/>
    <s v="Bárbara Oliveira"/>
    <x v="2"/>
    <x v="87"/>
    <x v="0"/>
    <n v="10"/>
    <x v="0"/>
    <s v="No"/>
    <s v="-"/>
    <s v="Yes"/>
    <n v="20"/>
    <x v="2"/>
    <n v="20"/>
    <x v="0"/>
  </r>
  <r>
    <x v="89"/>
    <s v="Carlos Junqueira"/>
    <x v="1"/>
    <x v="88"/>
    <x v="1"/>
    <n v="5"/>
    <x v="2"/>
    <s v="No"/>
    <s v="-"/>
    <s v="No"/>
    <n v="0"/>
    <x v="1"/>
    <n v="5"/>
    <x v="1"/>
  </r>
  <r>
    <x v="90"/>
    <s v="Daniela Moura"/>
    <x v="0"/>
    <x v="89"/>
    <x v="0"/>
    <n v="15"/>
    <x v="0"/>
    <s v="Yes"/>
    <n v="30"/>
    <s v="Yes"/>
    <n v="20"/>
    <x v="0"/>
    <n v="60"/>
    <x v="0"/>
  </r>
  <r>
    <x v="91"/>
    <s v="Eduardo Lima"/>
    <x v="2"/>
    <x v="90"/>
    <x v="1"/>
    <n v="10"/>
    <x v="1"/>
    <s v="No"/>
    <s v="-"/>
    <s v="Yes"/>
    <n v="20"/>
    <x v="6"/>
    <n v="15"/>
    <x v="0"/>
  </r>
  <r>
    <x v="92"/>
    <s v="Fabiana Araújo"/>
    <x v="1"/>
    <x v="91"/>
    <x v="0"/>
    <n v="5"/>
    <x v="0"/>
    <s v="No"/>
    <s v="-"/>
    <s v="No"/>
    <n v="0"/>
    <x v="4"/>
    <n v="4"/>
    <x v="0"/>
  </r>
  <r>
    <x v="93"/>
    <s v="Geraldo Ribeiro"/>
    <x v="0"/>
    <x v="92"/>
    <x v="1"/>
    <n v="15"/>
    <x v="2"/>
    <s v="Yes"/>
    <n v="30"/>
    <s v="Yes"/>
    <n v="20"/>
    <x v="7"/>
    <n v="45"/>
    <x v="0"/>
  </r>
  <r>
    <x v="94"/>
    <s v="Héctor Vargas"/>
    <x v="2"/>
    <x v="93"/>
    <x v="0"/>
    <n v="10"/>
    <x v="2"/>
    <s v="No"/>
    <s v="-"/>
    <s v="Yes"/>
    <n v="20"/>
    <x v="6"/>
    <n v="15"/>
    <x v="0"/>
  </r>
  <r>
    <x v="95"/>
    <s v="Isabela Fonseca"/>
    <x v="1"/>
    <x v="94"/>
    <x v="1"/>
    <n v="5"/>
    <x v="1"/>
    <s v="No"/>
    <s v="-"/>
    <s v="No"/>
    <n v="0"/>
    <x v="1"/>
    <n v="5"/>
    <x v="1"/>
  </r>
  <r>
    <x v="96"/>
    <s v="João Pedro Almeida"/>
    <x v="0"/>
    <x v="95"/>
    <x v="0"/>
    <n v="15"/>
    <x v="0"/>
    <s v="Yes"/>
    <n v="30"/>
    <s v="Yes"/>
    <n v="20"/>
    <x v="10"/>
    <n v="58"/>
    <x v="0"/>
  </r>
  <r>
    <x v="97"/>
    <s v="Klara Costa"/>
    <x v="2"/>
    <x v="96"/>
    <x v="1"/>
    <n v="10"/>
    <x v="1"/>
    <s v="No"/>
    <s v="-"/>
    <s v="Yes"/>
    <n v="20"/>
    <x v="2"/>
    <n v="20"/>
    <x v="0"/>
  </r>
  <r>
    <x v="98"/>
    <s v="Luciana Mendes"/>
    <x v="1"/>
    <x v="97"/>
    <x v="0"/>
    <n v="5"/>
    <x v="2"/>
    <s v="No"/>
    <s v="-"/>
    <s v="No"/>
    <n v="0"/>
    <x v="4"/>
    <n v="4"/>
    <x v="0"/>
  </r>
  <r>
    <x v="99"/>
    <s v="Marcelo Gouveia"/>
    <x v="0"/>
    <x v="98"/>
    <x v="1"/>
    <n v="15"/>
    <x v="0"/>
    <s v="Yes"/>
    <n v="30"/>
    <s v="Yes"/>
    <n v="20"/>
    <x v="6"/>
    <n v="50"/>
    <x v="0"/>
  </r>
  <r>
    <x v="100"/>
    <s v="Nívea Borges"/>
    <x v="2"/>
    <x v="99"/>
    <x v="0"/>
    <n v="10"/>
    <x v="0"/>
    <s v="No"/>
    <s v="-"/>
    <s v="Yes"/>
    <n v="20"/>
    <x v="0"/>
    <n v="25"/>
    <x v="0"/>
  </r>
  <r>
    <x v="101"/>
    <s v="Oscar Nogueira"/>
    <x v="1"/>
    <x v="100"/>
    <x v="1"/>
    <n v="5"/>
    <x v="1"/>
    <s v="No"/>
    <s v="-"/>
    <s v="No"/>
    <n v="0"/>
    <x v="1"/>
    <n v="5"/>
    <x v="1"/>
  </r>
  <r>
    <x v="102"/>
    <s v="Patrícia Alves"/>
    <x v="0"/>
    <x v="101"/>
    <x v="0"/>
    <n v="15"/>
    <x v="2"/>
    <s v="Yes"/>
    <n v="30"/>
    <s v="Yes"/>
    <n v="20"/>
    <x v="7"/>
    <n v="45"/>
    <x v="0"/>
  </r>
  <r>
    <x v="103"/>
    <s v="Rafaela Silva"/>
    <x v="2"/>
    <x v="102"/>
    <x v="1"/>
    <n v="10"/>
    <x v="2"/>
    <s v="No"/>
    <s v="-"/>
    <s v="Yes"/>
    <n v="20"/>
    <x v="9"/>
    <n v="18"/>
    <x v="0"/>
  </r>
  <r>
    <x v="104"/>
    <s v="Samantha Moraes"/>
    <x v="1"/>
    <x v="103"/>
    <x v="0"/>
    <n v="5"/>
    <x v="0"/>
    <s v="No"/>
    <s v="-"/>
    <s v="No"/>
    <n v="0"/>
    <x v="5"/>
    <n v="3"/>
    <x v="0"/>
  </r>
  <r>
    <x v="105"/>
    <s v="Tatiana Rocha"/>
    <x v="1"/>
    <x v="104"/>
    <x v="0"/>
    <n v="5"/>
    <x v="0"/>
    <s v="No"/>
    <s v="-"/>
    <s v="No"/>
    <n v="0"/>
    <x v="1"/>
    <n v="5"/>
    <x v="1"/>
  </r>
  <r>
    <x v="106"/>
    <s v="Ulisses Tavares"/>
    <x v="0"/>
    <x v="105"/>
    <x v="1"/>
    <n v="15"/>
    <x v="2"/>
    <s v="Yes"/>
    <n v="30"/>
    <s v="Yes"/>
    <n v="20"/>
    <x v="10"/>
    <n v="58"/>
    <x v="0"/>
  </r>
  <r>
    <x v="107"/>
    <s v="Víctor Lemos"/>
    <x v="2"/>
    <x v="106"/>
    <x v="0"/>
    <n v="10"/>
    <x v="1"/>
    <s v="No"/>
    <s v="-"/>
    <s v="Yes"/>
    <n v="20"/>
    <x v="2"/>
    <n v="20"/>
    <x v="0"/>
  </r>
  <r>
    <x v="108"/>
    <s v="Wilma Barros"/>
    <x v="1"/>
    <x v="107"/>
    <x v="1"/>
    <n v="5"/>
    <x v="2"/>
    <s v="No"/>
    <s v="-"/>
    <s v="No"/>
    <n v="0"/>
    <x v="4"/>
    <n v="4"/>
    <x v="0"/>
  </r>
  <r>
    <x v="109"/>
    <s v="Xavier Nascimento"/>
    <x v="0"/>
    <x v="108"/>
    <x v="0"/>
    <n v="15"/>
    <x v="0"/>
    <s v="Yes"/>
    <n v="30"/>
    <s v="Yes"/>
    <n v="20"/>
    <x v="6"/>
    <n v="50"/>
    <x v="0"/>
  </r>
  <r>
    <x v="110"/>
    <s v="Yago Pereira"/>
    <x v="2"/>
    <x v="109"/>
    <x v="1"/>
    <n v="10"/>
    <x v="0"/>
    <s v="No"/>
    <s v="-"/>
    <s v="Yes"/>
    <n v="20"/>
    <x v="0"/>
    <n v="25"/>
    <x v="0"/>
  </r>
  <r>
    <x v="111"/>
    <s v="Zilda Ferreira"/>
    <x v="1"/>
    <x v="110"/>
    <x v="0"/>
    <n v="5"/>
    <x v="1"/>
    <s v="No"/>
    <s v="-"/>
    <s v="No"/>
    <n v="0"/>
    <x v="1"/>
    <n v="5"/>
    <x v="1"/>
  </r>
  <r>
    <x v="112"/>
    <s v="Amanda Lopes"/>
    <x v="0"/>
    <x v="111"/>
    <x v="1"/>
    <n v="15"/>
    <x v="2"/>
    <s v="Yes"/>
    <n v="30"/>
    <s v="Yes"/>
    <n v="20"/>
    <x v="7"/>
    <n v="45"/>
    <x v="0"/>
  </r>
  <r>
    <x v="113"/>
    <s v="Bruno Miranda"/>
    <x v="2"/>
    <x v="112"/>
    <x v="0"/>
    <n v="10"/>
    <x v="2"/>
    <s v="No"/>
    <s v="-"/>
    <s v="Yes"/>
    <n v="20"/>
    <x v="9"/>
    <n v="18"/>
    <x v="0"/>
  </r>
  <r>
    <x v="114"/>
    <s v="Célia Torres"/>
    <x v="1"/>
    <x v="113"/>
    <x v="1"/>
    <n v="5"/>
    <x v="0"/>
    <s v="No"/>
    <s v="-"/>
    <s v="No"/>
    <n v="0"/>
    <x v="5"/>
    <n v="3"/>
    <x v="0"/>
  </r>
  <r>
    <x v="115"/>
    <s v="Diogo Souza"/>
    <x v="0"/>
    <x v="114"/>
    <x v="0"/>
    <n v="15"/>
    <x v="1"/>
    <s v="Yes"/>
    <n v="30"/>
    <s v="Yes"/>
    <n v="20"/>
    <x v="0"/>
    <n v="60"/>
    <x v="0"/>
  </r>
  <r>
    <x v="116"/>
    <s v="Elisa Castro"/>
    <x v="2"/>
    <x v="115"/>
    <x v="1"/>
    <n v="10"/>
    <x v="0"/>
    <s v="No"/>
    <s v="-"/>
    <s v="Yes"/>
    <n v="20"/>
    <x v="2"/>
    <n v="20"/>
    <x v="0"/>
  </r>
  <r>
    <x v="117"/>
    <s v="Fátima Lima"/>
    <x v="1"/>
    <x v="116"/>
    <x v="0"/>
    <n v="5"/>
    <x v="2"/>
    <s v="No"/>
    <s v="-"/>
    <s v="No"/>
    <n v="0"/>
    <x v="1"/>
    <n v="5"/>
    <x v="1"/>
  </r>
  <r>
    <x v="118"/>
    <s v="Geraldo Ribeiro"/>
    <x v="0"/>
    <x v="117"/>
    <x v="1"/>
    <n v="15"/>
    <x v="0"/>
    <s v="Yes"/>
    <n v="30"/>
    <s v="Yes"/>
    <n v="20"/>
    <x v="3"/>
    <n v="62"/>
    <x v="0"/>
  </r>
  <r>
    <x v="119"/>
    <s v="Hélio Martins"/>
    <x v="2"/>
    <x v="118"/>
    <x v="0"/>
    <n v="10"/>
    <x v="1"/>
    <s v="No"/>
    <s v="-"/>
    <s v="Yes"/>
    <n v="20"/>
    <x v="6"/>
    <n v="15"/>
    <x v="0"/>
  </r>
  <r>
    <x v="120"/>
    <s v="Íris Santos"/>
    <x v="1"/>
    <x v="119"/>
    <x v="1"/>
    <n v="5"/>
    <x v="0"/>
    <s v="No"/>
    <s v="-"/>
    <s v="No"/>
    <n v="0"/>
    <x v="4"/>
    <n v="4"/>
    <x v="0"/>
  </r>
  <r>
    <x v="121"/>
    <s v="João Marcelo"/>
    <x v="0"/>
    <x v="120"/>
    <x v="0"/>
    <n v="15"/>
    <x v="2"/>
    <s v="Yes"/>
    <n v="30"/>
    <s v="Yes"/>
    <n v="20"/>
    <x v="10"/>
    <n v="58"/>
    <x v="0"/>
  </r>
  <r>
    <x v="122"/>
    <s v="Larissa Gomes"/>
    <x v="2"/>
    <x v="121"/>
    <x v="1"/>
    <n v="10"/>
    <x v="0"/>
    <s v="No"/>
    <s v="-"/>
    <s v="Yes"/>
    <n v="20"/>
    <x v="2"/>
    <n v="20"/>
    <x v="0"/>
  </r>
  <r>
    <x v="123"/>
    <s v="Márcio Silva"/>
    <x v="1"/>
    <x v="122"/>
    <x v="0"/>
    <n v="5"/>
    <x v="1"/>
    <s v="No"/>
    <s v="-"/>
    <s v="No"/>
    <n v="0"/>
    <x v="1"/>
    <n v="5"/>
    <x v="1"/>
  </r>
  <r>
    <x v="124"/>
    <s v="Nadia Costa"/>
    <x v="0"/>
    <x v="123"/>
    <x v="1"/>
    <n v="15"/>
    <x v="0"/>
    <s v="Yes"/>
    <n v="30"/>
    <s v="Yes"/>
    <n v="20"/>
    <x v="7"/>
    <n v="45"/>
    <x v="0"/>
  </r>
  <r>
    <x v="125"/>
    <s v="Oscar Almeida"/>
    <x v="2"/>
    <x v="124"/>
    <x v="0"/>
    <n v="10"/>
    <x v="2"/>
    <s v="No"/>
    <s v="-"/>
    <s v="Yes"/>
    <n v="20"/>
    <x v="6"/>
    <n v="15"/>
    <x v="0"/>
  </r>
  <r>
    <x v="126"/>
    <s v="Patricia Soares"/>
    <x v="1"/>
    <x v="125"/>
    <x v="1"/>
    <n v="5"/>
    <x v="0"/>
    <s v="No"/>
    <s v="-"/>
    <s v="No"/>
    <n v="0"/>
    <x v="4"/>
    <n v="4"/>
    <x v="0"/>
  </r>
  <r>
    <x v="127"/>
    <s v="Quênia Barros"/>
    <x v="0"/>
    <x v="126"/>
    <x v="0"/>
    <n v="15"/>
    <x v="1"/>
    <s v="Yes"/>
    <n v="30"/>
    <s v="Yes"/>
    <n v="20"/>
    <x v="3"/>
    <n v="62"/>
    <x v="0"/>
  </r>
  <r>
    <x v="128"/>
    <s v="Rafael Torres"/>
    <x v="2"/>
    <x v="127"/>
    <x v="1"/>
    <n v="10"/>
    <x v="0"/>
    <s v="No"/>
    <s v="-"/>
    <s v="Yes"/>
    <n v="20"/>
    <x v="2"/>
    <n v="20"/>
    <x v="0"/>
  </r>
  <r>
    <x v="129"/>
    <s v="Silvia Nascimento"/>
    <x v="1"/>
    <x v="128"/>
    <x v="0"/>
    <n v="5"/>
    <x v="2"/>
    <s v="No"/>
    <s v="-"/>
    <s v="No"/>
    <n v="0"/>
    <x v="1"/>
    <n v="5"/>
    <x v="1"/>
  </r>
  <r>
    <x v="130"/>
    <s v="Tiago Mendes"/>
    <x v="0"/>
    <x v="129"/>
    <x v="1"/>
    <n v="15"/>
    <x v="0"/>
    <s v="Yes"/>
    <n v="30"/>
    <s v="Yes"/>
    <n v="20"/>
    <x v="6"/>
    <n v="50"/>
    <x v="0"/>
  </r>
  <r>
    <x v="131"/>
    <s v="Ursula Silva"/>
    <x v="2"/>
    <x v="130"/>
    <x v="0"/>
    <n v="10"/>
    <x v="1"/>
    <s v="No"/>
    <s v="-"/>
    <s v="Yes"/>
    <n v="20"/>
    <x v="6"/>
    <n v="15"/>
    <x v="0"/>
  </r>
  <r>
    <x v="132"/>
    <s v="Vanessa Moraes"/>
    <x v="1"/>
    <x v="131"/>
    <x v="1"/>
    <n v="5"/>
    <x v="0"/>
    <s v="No"/>
    <s v="-"/>
    <s v="No"/>
    <n v="0"/>
    <x v="4"/>
    <n v="4"/>
    <x v="0"/>
  </r>
  <r>
    <x v="133"/>
    <s v="Waldir Junior"/>
    <x v="0"/>
    <x v="132"/>
    <x v="0"/>
    <n v="15"/>
    <x v="2"/>
    <s v="Yes"/>
    <n v="30"/>
    <s v="Yes"/>
    <n v="20"/>
    <x v="10"/>
    <n v="58"/>
    <x v="0"/>
  </r>
  <r>
    <x v="134"/>
    <s v="Xavier Lopes"/>
    <x v="2"/>
    <x v="133"/>
    <x v="1"/>
    <n v="10"/>
    <x v="0"/>
    <s v="No"/>
    <s v="-"/>
    <s v="Yes"/>
    <n v="20"/>
    <x v="2"/>
    <n v="20"/>
    <x v="0"/>
  </r>
  <r>
    <x v="135"/>
    <s v="Yolanda Freitas"/>
    <x v="1"/>
    <x v="134"/>
    <x v="0"/>
    <n v="5"/>
    <x v="0"/>
    <s v="No"/>
    <s v="-"/>
    <s v="No"/>
    <n v="0"/>
    <x v="1"/>
    <n v="5"/>
    <x v="1"/>
  </r>
  <r>
    <x v="136"/>
    <s v="Zacarias Nunes"/>
    <x v="0"/>
    <x v="135"/>
    <x v="1"/>
    <n v="15"/>
    <x v="2"/>
    <s v="Yes"/>
    <n v="30"/>
    <s v="Yes"/>
    <n v="20"/>
    <x v="10"/>
    <n v="58"/>
    <x v="0"/>
  </r>
  <r>
    <x v="137"/>
    <s v="Ana Clara Barreto"/>
    <x v="2"/>
    <x v="136"/>
    <x v="0"/>
    <n v="10"/>
    <x v="1"/>
    <s v="No"/>
    <s v="-"/>
    <s v="Yes"/>
    <n v="20"/>
    <x v="2"/>
    <n v="20"/>
    <x v="0"/>
  </r>
  <r>
    <x v="138"/>
    <s v="Bruno Henrique"/>
    <x v="1"/>
    <x v="137"/>
    <x v="1"/>
    <n v="5"/>
    <x v="2"/>
    <s v="No"/>
    <s v="-"/>
    <s v="No"/>
    <n v="0"/>
    <x v="4"/>
    <n v="4"/>
    <x v="0"/>
  </r>
  <r>
    <x v="139"/>
    <s v="Carlos Eduardo"/>
    <x v="0"/>
    <x v="138"/>
    <x v="0"/>
    <n v="15"/>
    <x v="0"/>
    <s v="Yes"/>
    <n v="30"/>
    <s v="Yes"/>
    <n v="20"/>
    <x v="6"/>
    <n v="50"/>
    <x v="0"/>
  </r>
  <r>
    <x v="140"/>
    <s v="Débora Lima"/>
    <x v="2"/>
    <x v="139"/>
    <x v="1"/>
    <n v="10"/>
    <x v="0"/>
    <s v="No"/>
    <s v="-"/>
    <s v="Yes"/>
    <n v="20"/>
    <x v="0"/>
    <n v="25"/>
    <x v="0"/>
  </r>
  <r>
    <x v="141"/>
    <s v="Elisa Neves"/>
    <x v="1"/>
    <x v="140"/>
    <x v="0"/>
    <n v="5"/>
    <x v="1"/>
    <s v="No"/>
    <s v="-"/>
    <s v="No"/>
    <n v="0"/>
    <x v="1"/>
    <n v="5"/>
    <x v="1"/>
  </r>
  <r>
    <x v="142"/>
    <s v="Fabiano Gomes"/>
    <x v="0"/>
    <x v="141"/>
    <x v="1"/>
    <n v="15"/>
    <x v="2"/>
    <s v="Yes"/>
    <n v="30"/>
    <s v="Yes"/>
    <n v="20"/>
    <x v="7"/>
    <n v="45"/>
    <x v="0"/>
  </r>
  <r>
    <x v="143"/>
    <s v="Gisele Oliveira"/>
    <x v="2"/>
    <x v="142"/>
    <x v="0"/>
    <n v="10"/>
    <x v="2"/>
    <s v="No"/>
    <s v="-"/>
    <s v="Yes"/>
    <n v="20"/>
    <x v="9"/>
    <n v="18"/>
    <x v="0"/>
  </r>
  <r>
    <x v="144"/>
    <s v="Héctor Silva"/>
    <x v="1"/>
    <x v="143"/>
    <x v="1"/>
    <n v="5"/>
    <x v="0"/>
    <s v="No"/>
    <s v="-"/>
    <s v="No"/>
    <n v="0"/>
    <x v="5"/>
    <n v="3"/>
    <x v="0"/>
  </r>
  <r>
    <x v="145"/>
    <s v="Igor Martins"/>
    <x v="0"/>
    <x v="144"/>
    <x v="0"/>
    <n v="15"/>
    <x v="1"/>
    <s v="Yes"/>
    <n v="30"/>
    <s v="Yes"/>
    <n v="20"/>
    <x v="0"/>
    <n v="60"/>
    <x v="0"/>
  </r>
  <r>
    <x v="146"/>
    <s v="Joana Figueiredo"/>
    <x v="2"/>
    <x v="145"/>
    <x v="1"/>
    <n v="10"/>
    <x v="0"/>
    <s v="No"/>
    <s v="-"/>
    <s v="Yes"/>
    <n v="20"/>
    <x v="2"/>
    <n v="20"/>
    <x v="0"/>
  </r>
  <r>
    <x v="147"/>
    <s v="Kleber Machado"/>
    <x v="1"/>
    <x v="146"/>
    <x v="0"/>
    <n v="5"/>
    <x v="2"/>
    <s v="No"/>
    <s v="-"/>
    <s v="No"/>
    <n v="0"/>
    <x v="1"/>
    <n v="5"/>
    <x v="1"/>
  </r>
  <r>
    <x v="148"/>
    <s v="Luciana Santos"/>
    <x v="0"/>
    <x v="147"/>
    <x v="1"/>
    <n v="15"/>
    <x v="0"/>
    <s v="Yes"/>
    <n v="30"/>
    <s v="Yes"/>
    <n v="20"/>
    <x v="3"/>
    <n v="62"/>
    <x v="0"/>
  </r>
  <r>
    <x v="149"/>
    <s v="Marcos Teixeira"/>
    <x v="2"/>
    <x v="148"/>
    <x v="0"/>
    <n v="10"/>
    <x v="1"/>
    <s v="No"/>
    <s v="-"/>
    <s v="Yes"/>
    <n v="20"/>
    <x v="6"/>
    <n v="15"/>
    <x v="0"/>
  </r>
  <r>
    <x v="150"/>
    <s v="Natalia Costa"/>
    <x v="1"/>
    <x v="149"/>
    <x v="1"/>
    <n v="5"/>
    <x v="0"/>
    <s v="No"/>
    <s v="-"/>
    <s v="No"/>
    <n v="0"/>
    <x v="4"/>
    <n v="4"/>
    <x v="0"/>
  </r>
  <r>
    <x v="151"/>
    <s v="Oscar Ribeiro"/>
    <x v="0"/>
    <x v="150"/>
    <x v="0"/>
    <n v="15"/>
    <x v="2"/>
    <s v="Yes"/>
    <n v="30"/>
    <s v="Yes"/>
    <n v="20"/>
    <x v="10"/>
    <n v="58"/>
    <x v="0"/>
  </r>
  <r>
    <x v="152"/>
    <s v="Patricia Almeida"/>
    <x v="2"/>
    <x v="151"/>
    <x v="1"/>
    <n v="10"/>
    <x v="0"/>
    <s v="No"/>
    <s v="-"/>
    <s v="Yes"/>
    <n v="20"/>
    <x v="2"/>
    <n v="20"/>
    <x v="0"/>
  </r>
  <r>
    <x v="153"/>
    <s v="Quirino Junior"/>
    <x v="1"/>
    <x v="152"/>
    <x v="0"/>
    <n v="5"/>
    <x v="1"/>
    <s v="No"/>
    <s v="-"/>
    <s v="No"/>
    <n v="0"/>
    <x v="1"/>
    <n v="5"/>
    <x v="1"/>
  </r>
  <r>
    <x v="154"/>
    <s v="Renata Machado"/>
    <x v="0"/>
    <x v="153"/>
    <x v="1"/>
    <n v="15"/>
    <x v="0"/>
    <s v="Yes"/>
    <n v="30"/>
    <s v="Yes"/>
    <n v="20"/>
    <x v="7"/>
    <n v="45"/>
    <x v="0"/>
  </r>
  <r>
    <x v="155"/>
    <s v="Sônia Alves"/>
    <x v="2"/>
    <x v="154"/>
    <x v="0"/>
    <n v="10"/>
    <x v="2"/>
    <s v="No"/>
    <s v="-"/>
    <s v="Yes"/>
    <n v="20"/>
    <x v="6"/>
    <n v="15"/>
    <x v="0"/>
  </r>
  <r>
    <x v="156"/>
    <s v="Tiago Nunes"/>
    <x v="1"/>
    <x v="155"/>
    <x v="1"/>
    <n v="5"/>
    <x v="0"/>
    <s v="No"/>
    <s v="-"/>
    <s v="No"/>
    <n v="0"/>
    <x v="4"/>
    <n v="4"/>
    <x v="0"/>
  </r>
  <r>
    <x v="157"/>
    <s v="Ulysses Pereira"/>
    <x v="0"/>
    <x v="156"/>
    <x v="0"/>
    <n v="15"/>
    <x v="1"/>
    <s v="Yes"/>
    <n v="30"/>
    <s v="Yes"/>
    <n v="20"/>
    <x v="3"/>
    <n v="62"/>
    <x v="0"/>
  </r>
  <r>
    <x v="158"/>
    <s v="Vanessa Lima"/>
    <x v="2"/>
    <x v="157"/>
    <x v="1"/>
    <n v="10"/>
    <x v="0"/>
    <s v="No"/>
    <s v="-"/>
    <s v="Yes"/>
    <n v="20"/>
    <x v="2"/>
    <n v="20"/>
    <x v="0"/>
  </r>
  <r>
    <x v="159"/>
    <s v="Wagner Santos"/>
    <x v="1"/>
    <x v="158"/>
    <x v="0"/>
    <n v="5"/>
    <x v="2"/>
    <s v="No"/>
    <s v="-"/>
    <s v="No"/>
    <n v="0"/>
    <x v="1"/>
    <n v="5"/>
    <x v="1"/>
  </r>
  <r>
    <x v="160"/>
    <s v="Xuxa Meneghel"/>
    <x v="0"/>
    <x v="159"/>
    <x v="1"/>
    <n v="15"/>
    <x v="0"/>
    <s v="Yes"/>
    <n v="30"/>
    <s v="Yes"/>
    <n v="20"/>
    <x v="6"/>
    <n v="50"/>
    <x v="0"/>
  </r>
  <r>
    <x v="161"/>
    <s v="Yasmin Silva"/>
    <x v="2"/>
    <x v="160"/>
    <x v="0"/>
    <n v="10"/>
    <x v="1"/>
    <s v="No"/>
    <s v="-"/>
    <s v="Yes"/>
    <n v="20"/>
    <x v="6"/>
    <n v="15"/>
    <x v="0"/>
  </r>
  <r>
    <x v="162"/>
    <s v="Zacarias de Souza"/>
    <x v="1"/>
    <x v="161"/>
    <x v="1"/>
    <n v="5"/>
    <x v="0"/>
    <s v="No"/>
    <s v="-"/>
    <s v="No"/>
    <n v="0"/>
    <x v="4"/>
    <n v="4"/>
    <x v="0"/>
  </r>
  <r>
    <x v="163"/>
    <s v="André Lima"/>
    <x v="0"/>
    <x v="162"/>
    <x v="0"/>
    <n v="15"/>
    <x v="2"/>
    <s v="Yes"/>
    <n v="30"/>
    <s v="Yes"/>
    <n v="20"/>
    <x v="10"/>
    <n v="58"/>
    <x v="0"/>
  </r>
  <r>
    <x v="164"/>
    <s v="Bianca Freitas"/>
    <x v="2"/>
    <x v="163"/>
    <x v="1"/>
    <n v="10"/>
    <x v="0"/>
    <s v="No"/>
    <s v="-"/>
    <s v="Yes"/>
    <n v="20"/>
    <x v="2"/>
    <n v="20"/>
    <x v="0"/>
  </r>
  <r>
    <x v="165"/>
    <s v="Caio Mendes"/>
    <x v="1"/>
    <x v="164"/>
    <x v="0"/>
    <n v="5"/>
    <x v="1"/>
    <s v="No"/>
    <s v="-"/>
    <s v="No"/>
    <n v="0"/>
    <x v="1"/>
    <n v="5"/>
    <x v="1"/>
  </r>
  <r>
    <x v="166"/>
    <s v="Daniela Moura"/>
    <x v="0"/>
    <x v="165"/>
    <x v="1"/>
    <n v="15"/>
    <x v="0"/>
    <s v="Yes"/>
    <n v="30"/>
    <s v="Yes"/>
    <n v="20"/>
    <x v="7"/>
    <n v="45"/>
    <x v="0"/>
  </r>
  <r>
    <x v="167"/>
    <s v="Eduardo Costa"/>
    <x v="2"/>
    <x v="166"/>
    <x v="0"/>
    <n v="10"/>
    <x v="2"/>
    <s v="No"/>
    <s v="-"/>
    <s v="Yes"/>
    <n v="20"/>
    <x v="6"/>
    <n v="15"/>
    <x v="0"/>
  </r>
  <r>
    <x v="168"/>
    <s v="Fernanda Gomes"/>
    <x v="1"/>
    <x v="167"/>
    <x v="1"/>
    <n v="5"/>
    <x v="0"/>
    <s v="No"/>
    <s v="-"/>
    <s v="No"/>
    <n v="0"/>
    <x v="4"/>
    <n v="4"/>
    <x v="0"/>
  </r>
  <r>
    <x v="169"/>
    <s v="Guilherme Souza"/>
    <x v="0"/>
    <x v="168"/>
    <x v="0"/>
    <n v="15"/>
    <x v="1"/>
    <s v="Yes"/>
    <n v="30"/>
    <s v="Yes"/>
    <n v="20"/>
    <x v="0"/>
    <n v="60"/>
    <x v="0"/>
  </r>
  <r>
    <x v="170"/>
    <s v="Helena Ribeiro"/>
    <x v="2"/>
    <x v="169"/>
    <x v="1"/>
    <n v="10"/>
    <x v="0"/>
    <s v="No"/>
    <s v="-"/>
    <s v="Yes"/>
    <n v="20"/>
    <x v="2"/>
    <n v="20"/>
    <x v="0"/>
  </r>
  <r>
    <x v="171"/>
    <s v="Igor Santos"/>
    <x v="1"/>
    <x v="170"/>
    <x v="0"/>
    <n v="5"/>
    <x v="2"/>
    <s v="No"/>
    <s v="-"/>
    <s v="No"/>
    <n v="0"/>
    <x v="1"/>
    <n v="5"/>
    <x v="1"/>
  </r>
  <r>
    <x v="172"/>
    <s v="João Carvalho"/>
    <x v="0"/>
    <x v="171"/>
    <x v="1"/>
    <n v="15"/>
    <x v="0"/>
    <s v="Yes"/>
    <n v="30"/>
    <s v="Yes"/>
    <n v="20"/>
    <x v="3"/>
    <n v="62"/>
    <x v="0"/>
  </r>
  <r>
    <x v="173"/>
    <s v="Klara Fagundes"/>
    <x v="2"/>
    <x v="172"/>
    <x v="0"/>
    <n v="10"/>
    <x v="1"/>
    <s v="No"/>
    <s v="-"/>
    <s v="Yes"/>
    <n v="20"/>
    <x v="6"/>
    <n v="15"/>
    <x v="0"/>
  </r>
  <r>
    <x v="174"/>
    <s v="Lúcia Mendonça"/>
    <x v="1"/>
    <x v="173"/>
    <x v="1"/>
    <n v="5"/>
    <x v="0"/>
    <s v="No"/>
    <s v="-"/>
    <s v="No"/>
    <n v="0"/>
    <x v="4"/>
    <n v="4"/>
    <x v="0"/>
  </r>
  <r>
    <x v="175"/>
    <s v="Marcelo Novaes"/>
    <x v="1"/>
    <x v="174"/>
    <x v="0"/>
    <n v="5"/>
    <x v="0"/>
    <s v="No"/>
    <s v="-"/>
    <s v="No"/>
    <n v="0"/>
    <x v="1"/>
    <n v="5"/>
    <x v="1"/>
  </r>
  <r>
    <x v="176"/>
    <s v="Nina Pacheco"/>
    <x v="0"/>
    <x v="175"/>
    <x v="1"/>
    <n v="15"/>
    <x v="2"/>
    <s v="Yes"/>
    <n v="30"/>
    <s v="Yes"/>
    <n v="20"/>
    <x v="10"/>
    <n v="58"/>
    <x v="0"/>
  </r>
  <r>
    <x v="177"/>
    <s v="Olívia Rios"/>
    <x v="2"/>
    <x v="176"/>
    <x v="0"/>
    <n v="10"/>
    <x v="1"/>
    <s v="No"/>
    <s v="-"/>
    <s v="Yes"/>
    <n v="20"/>
    <x v="2"/>
    <n v="20"/>
    <x v="0"/>
  </r>
  <r>
    <x v="178"/>
    <s v="Paulo Quintana"/>
    <x v="1"/>
    <x v="177"/>
    <x v="1"/>
    <n v="5"/>
    <x v="2"/>
    <s v="No"/>
    <s v="-"/>
    <s v="No"/>
    <n v="0"/>
    <x v="4"/>
    <n v="4"/>
    <x v="0"/>
  </r>
  <r>
    <x v="179"/>
    <s v="Raquel Domingos"/>
    <x v="0"/>
    <x v="178"/>
    <x v="0"/>
    <n v="15"/>
    <x v="0"/>
    <s v="Yes"/>
    <n v="30"/>
    <s v="Yes"/>
    <n v="20"/>
    <x v="6"/>
    <n v="50"/>
    <x v="0"/>
  </r>
  <r>
    <x v="180"/>
    <s v="Samuel Viana"/>
    <x v="2"/>
    <x v="179"/>
    <x v="1"/>
    <n v="10"/>
    <x v="0"/>
    <s v="No"/>
    <s v="-"/>
    <s v="Yes"/>
    <n v="20"/>
    <x v="0"/>
    <n v="25"/>
    <x v="0"/>
  </r>
  <r>
    <x v="181"/>
    <s v="Tatiane Rocha"/>
    <x v="1"/>
    <x v="180"/>
    <x v="0"/>
    <n v="5"/>
    <x v="1"/>
    <s v="No"/>
    <s v="-"/>
    <s v="No"/>
    <n v="0"/>
    <x v="1"/>
    <n v="5"/>
    <x v="1"/>
  </r>
  <r>
    <x v="182"/>
    <s v="Ulysses Farias"/>
    <x v="0"/>
    <x v="181"/>
    <x v="1"/>
    <n v="15"/>
    <x v="2"/>
    <s v="Yes"/>
    <n v="30"/>
    <s v="Yes"/>
    <n v="20"/>
    <x v="7"/>
    <n v="45"/>
    <x v="0"/>
  </r>
  <r>
    <x v="183"/>
    <s v="Vanessa Moreira"/>
    <x v="2"/>
    <x v="182"/>
    <x v="0"/>
    <n v="10"/>
    <x v="2"/>
    <s v="No"/>
    <s v="-"/>
    <s v="Yes"/>
    <n v="20"/>
    <x v="9"/>
    <n v="18"/>
    <x v="0"/>
  </r>
  <r>
    <x v="184"/>
    <s v="William Carvalho"/>
    <x v="1"/>
    <x v="183"/>
    <x v="1"/>
    <n v="5"/>
    <x v="0"/>
    <s v="No"/>
    <s v="-"/>
    <s v="No"/>
    <n v="0"/>
    <x v="5"/>
    <n v="3"/>
    <x v="0"/>
  </r>
  <r>
    <x v="185"/>
    <s v="Ximena Barros"/>
    <x v="0"/>
    <x v="184"/>
    <x v="0"/>
    <n v="15"/>
    <x v="1"/>
    <s v="Yes"/>
    <n v="30"/>
    <s v="Yes"/>
    <n v="20"/>
    <x v="0"/>
    <n v="60"/>
    <x v="0"/>
  </r>
  <r>
    <x v="186"/>
    <s v="Yara Machado"/>
    <x v="2"/>
    <x v="185"/>
    <x v="1"/>
    <n v="10"/>
    <x v="0"/>
    <s v="No"/>
    <s v="-"/>
    <s v="Yes"/>
    <n v="20"/>
    <x v="2"/>
    <n v="20"/>
    <x v="0"/>
  </r>
  <r>
    <x v="187"/>
    <s v="Zacarias Costa"/>
    <x v="1"/>
    <x v="186"/>
    <x v="0"/>
    <n v="5"/>
    <x v="2"/>
    <s v="No"/>
    <s v="-"/>
    <s v="No"/>
    <n v="0"/>
    <x v="1"/>
    <n v="5"/>
    <x v="1"/>
  </r>
  <r>
    <x v="188"/>
    <s v="André Lopes"/>
    <x v="0"/>
    <x v="187"/>
    <x v="1"/>
    <n v="15"/>
    <x v="0"/>
    <s v="Yes"/>
    <n v="30"/>
    <s v="Yes"/>
    <n v="20"/>
    <x v="3"/>
    <n v="62"/>
    <x v="0"/>
  </r>
  <r>
    <x v="189"/>
    <s v="Beatriz Souza"/>
    <x v="2"/>
    <x v="188"/>
    <x v="0"/>
    <n v="10"/>
    <x v="1"/>
    <s v="No"/>
    <s v="-"/>
    <s v="Yes"/>
    <n v="20"/>
    <x v="6"/>
    <n v="15"/>
    <x v="0"/>
  </r>
  <r>
    <x v="190"/>
    <s v="Caio Pereira"/>
    <x v="1"/>
    <x v="189"/>
    <x v="1"/>
    <n v="5"/>
    <x v="0"/>
    <s v="No"/>
    <s v="-"/>
    <s v="No"/>
    <n v="0"/>
    <x v="4"/>
    <n v="4"/>
    <x v="0"/>
  </r>
  <r>
    <x v="191"/>
    <s v="Daniela Araújo"/>
    <x v="0"/>
    <x v="190"/>
    <x v="0"/>
    <n v="15"/>
    <x v="2"/>
    <s v="Yes"/>
    <n v="30"/>
    <s v="Yes"/>
    <n v="20"/>
    <x v="10"/>
    <n v="58"/>
    <x v="0"/>
  </r>
  <r>
    <x v="192"/>
    <s v="Eduardo Santos"/>
    <x v="2"/>
    <x v="191"/>
    <x v="1"/>
    <n v="10"/>
    <x v="0"/>
    <s v="No"/>
    <s v="-"/>
    <s v="Yes"/>
    <n v="20"/>
    <x v="2"/>
    <n v="20"/>
    <x v="0"/>
  </r>
  <r>
    <x v="193"/>
    <s v="Fernanda Lima"/>
    <x v="1"/>
    <x v="192"/>
    <x v="0"/>
    <n v="5"/>
    <x v="1"/>
    <s v="No"/>
    <s v="-"/>
    <s v="No"/>
    <n v="0"/>
    <x v="1"/>
    <n v="5"/>
    <x v="1"/>
  </r>
  <r>
    <x v="194"/>
    <s v="Gabriel Teixeira"/>
    <x v="0"/>
    <x v="193"/>
    <x v="1"/>
    <n v="15"/>
    <x v="0"/>
    <s v="Yes"/>
    <n v="30"/>
    <s v="Yes"/>
    <n v="20"/>
    <x v="7"/>
    <n v="45"/>
    <x v="0"/>
  </r>
  <r>
    <x v="195"/>
    <s v="Helena Ribeiro"/>
    <x v="2"/>
    <x v="194"/>
    <x v="0"/>
    <n v="10"/>
    <x v="2"/>
    <s v="No"/>
    <s v="-"/>
    <s v="Yes"/>
    <n v="20"/>
    <x v="6"/>
    <n v="15"/>
    <x v="0"/>
  </r>
  <r>
    <x v="196"/>
    <s v="Igor Mendes"/>
    <x v="1"/>
    <x v="195"/>
    <x v="1"/>
    <n v="5"/>
    <x v="0"/>
    <s v="No"/>
    <s v="-"/>
    <s v="No"/>
    <n v="0"/>
    <x v="4"/>
    <n v="4"/>
    <x v="0"/>
  </r>
  <r>
    <x v="197"/>
    <s v="Joana Silveira"/>
    <x v="0"/>
    <x v="196"/>
    <x v="0"/>
    <n v="15"/>
    <x v="1"/>
    <s v="Yes"/>
    <n v="30"/>
    <s v="Yes"/>
    <n v="20"/>
    <x v="3"/>
    <n v="62"/>
    <x v="0"/>
  </r>
  <r>
    <x v="198"/>
    <s v="Lucas Martins"/>
    <x v="2"/>
    <x v="197"/>
    <x v="1"/>
    <n v="10"/>
    <x v="0"/>
    <s v="No"/>
    <s v="-"/>
    <s v="Yes"/>
    <n v="20"/>
    <x v="2"/>
    <n v="20"/>
    <x v="0"/>
  </r>
  <r>
    <x v="199"/>
    <s v="Marcela Gouveia"/>
    <x v="1"/>
    <x v="198"/>
    <x v="0"/>
    <n v="5"/>
    <x v="2"/>
    <s v="No"/>
    <s v="-"/>
    <s v="No"/>
    <n v="0"/>
    <x v="1"/>
    <n v="5"/>
    <x v="1"/>
  </r>
  <r>
    <x v="200"/>
    <s v="Nicolas Borges"/>
    <x v="0"/>
    <x v="199"/>
    <x v="1"/>
    <n v="15"/>
    <x v="0"/>
    <s v="Yes"/>
    <n v="30"/>
    <s v="Yes"/>
    <n v="20"/>
    <x v="6"/>
    <n v="50"/>
    <x v="0"/>
  </r>
  <r>
    <x v="201"/>
    <s v="Olivia Freitas"/>
    <x v="2"/>
    <x v="200"/>
    <x v="0"/>
    <n v="10"/>
    <x v="1"/>
    <s v="No"/>
    <s v="-"/>
    <s v="Yes"/>
    <n v="20"/>
    <x v="6"/>
    <n v="15"/>
    <x v="0"/>
  </r>
  <r>
    <x v="202"/>
    <s v="Paulo Nogueira"/>
    <x v="1"/>
    <x v="201"/>
    <x v="1"/>
    <n v="5"/>
    <x v="0"/>
    <s v="No"/>
    <s v="-"/>
    <s v="No"/>
    <n v="0"/>
    <x v="4"/>
    <n v="4"/>
    <x v="0"/>
  </r>
  <r>
    <x v="203"/>
    <s v="Raquel Andrade"/>
    <x v="0"/>
    <x v="202"/>
    <x v="0"/>
    <n v="15"/>
    <x v="2"/>
    <s v="Yes"/>
    <n v="30"/>
    <s v="Yes"/>
    <n v="20"/>
    <x v="10"/>
    <n v="58"/>
    <x v="0"/>
  </r>
  <r>
    <x v="204"/>
    <s v="Sônia Carvalho"/>
    <x v="2"/>
    <x v="203"/>
    <x v="1"/>
    <n v="10"/>
    <x v="0"/>
    <s v="No"/>
    <s v="-"/>
    <s v="Yes"/>
    <n v="20"/>
    <x v="2"/>
    <n v="20"/>
    <x v="0"/>
  </r>
  <r>
    <x v="205"/>
    <s v="Tiago Rodrigues"/>
    <x v="1"/>
    <x v="204"/>
    <x v="0"/>
    <n v="5"/>
    <x v="0"/>
    <s v="No"/>
    <s v="-"/>
    <s v="No"/>
    <n v="0"/>
    <x v="1"/>
    <n v="5"/>
    <x v="1"/>
  </r>
  <r>
    <x v="206"/>
    <s v="Ursula Monteiro"/>
    <x v="0"/>
    <x v="205"/>
    <x v="1"/>
    <n v="15"/>
    <x v="2"/>
    <s v="Yes"/>
    <n v="30"/>
    <s v="Yes"/>
    <n v="20"/>
    <x v="10"/>
    <n v="58"/>
    <x v="0"/>
  </r>
  <r>
    <x v="207"/>
    <s v="Vanessa Pereira"/>
    <x v="2"/>
    <x v="206"/>
    <x v="0"/>
    <n v="10"/>
    <x v="1"/>
    <s v="No"/>
    <s v="-"/>
    <s v="Yes"/>
    <n v="20"/>
    <x v="2"/>
    <n v="20"/>
    <x v="0"/>
  </r>
  <r>
    <x v="208"/>
    <s v="Walter Silva"/>
    <x v="1"/>
    <x v="207"/>
    <x v="1"/>
    <n v="5"/>
    <x v="2"/>
    <s v="No"/>
    <s v="-"/>
    <s v="No"/>
    <n v="0"/>
    <x v="4"/>
    <n v="4"/>
    <x v="0"/>
  </r>
  <r>
    <x v="209"/>
    <s v="Xavier Almeida"/>
    <x v="0"/>
    <x v="208"/>
    <x v="0"/>
    <n v="15"/>
    <x v="0"/>
    <s v="Yes"/>
    <n v="30"/>
    <s v="Yes"/>
    <n v="20"/>
    <x v="6"/>
    <n v="50"/>
    <x v="0"/>
  </r>
  <r>
    <x v="210"/>
    <s v="Yasmine Correia"/>
    <x v="2"/>
    <x v="209"/>
    <x v="1"/>
    <n v="10"/>
    <x v="0"/>
    <s v="No"/>
    <s v="-"/>
    <s v="Yes"/>
    <n v="20"/>
    <x v="0"/>
    <n v="25"/>
    <x v="0"/>
  </r>
  <r>
    <x v="211"/>
    <s v="Zacarias Almeida"/>
    <x v="1"/>
    <x v="210"/>
    <x v="0"/>
    <n v="5"/>
    <x v="1"/>
    <s v="No"/>
    <s v="-"/>
    <s v="No"/>
    <n v="0"/>
    <x v="1"/>
    <n v="5"/>
    <x v="1"/>
  </r>
  <r>
    <x v="212"/>
    <s v="Amanda Costa"/>
    <x v="0"/>
    <x v="211"/>
    <x v="1"/>
    <n v="15"/>
    <x v="2"/>
    <s v="Yes"/>
    <n v="30"/>
    <s v="Yes"/>
    <n v="20"/>
    <x v="7"/>
    <n v="45"/>
    <x v="0"/>
  </r>
  <r>
    <x v="213"/>
    <s v="Bruno Ferreira"/>
    <x v="2"/>
    <x v="212"/>
    <x v="0"/>
    <n v="10"/>
    <x v="2"/>
    <s v="No"/>
    <s v="-"/>
    <s v="Yes"/>
    <n v="20"/>
    <x v="9"/>
    <n v="18"/>
    <x v="0"/>
  </r>
  <r>
    <x v="214"/>
    <s v="Carla Dias"/>
    <x v="1"/>
    <x v="213"/>
    <x v="1"/>
    <n v="5"/>
    <x v="0"/>
    <s v="No"/>
    <s v="-"/>
    <s v="No"/>
    <n v="0"/>
    <x v="5"/>
    <n v="3"/>
    <x v="0"/>
  </r>
  <r>
    <x v="215"/>
    <s v="Diogo Martins"/>
    <x v="0"/>
    <x v="214"/>
    <x v="0"/>
    <n v="15"/>
    <x v="1"/>
    <s v="Yes"/>
    <n v="30"/>
    <s v="Yes"/>
    <n v="20"/>
    <x v="0"/>
    <n v="60"/>
    <x v="0"/>
  </r>
  <r>
    <x v="216"/>
    <s v="Elisa Campos"/>
    <x v="2"/>
    <x v="215"/>
    <x v="1"/>
    <n v="10"/>
    <x v="0"/>
    <s v="No"/>
    <s v="-"/>
    <s v="Yes"/>
    <n v="20"/>
    <x v="2"/>
    <n v="20"/>
    <x v="0"/>
  </r>
  <r>
    <x v="217"/>
    <s v="Fabiana Lima"/>
    <x v="1"/>
    <x v="216"/>
    <x v="0"/>
    <n v="5"/>
    <x v="2"/>
    <s v="No"/>
    <s v="-"/>
    <s v="No"/>
    <n v="0"/>
    <x v="1"/>
    <n v="5"/>
    <x v="1"/>
  </r>
  <r>
    <x v="218"/>
    <s v="Gabriel Santos"/>
    <x v="0"/>
    <x v="217"/>
    <x v="1"/>
    <n v="15"/>
    <x v="0"/>
    <s v="Yes"/>
    <n v="30"/>
    <s v="Yes"/>
    <n v="20"/>
    <x v="3"/>
    <n v="62"/>
    <x v="0"/>
  </r>
  <r>
    <x v="219"/>
    <s v="Helena Ferreira"/>
    <x v="2"/>
    <x v="218"/>
    <x v="0"/>
    <n v="10"/>
    <x v="1"/>
    <s v="No"/>
    <s v="-"/>
    <s v="Yes"/>
    <n v="20"/>
    <x v="6"/>
    <n v="15"/>
    <x v="0"/>
  </r>
  <r>
    <x v="220"/>
    <s v="Ígor Nunes"/>
    <x v="1"/>
    <x v="219"/>
    <x v="1"/>
    <n v="5"/>
    <x v="0"/>
    <s v="No"/>
    <s v="-"/>
    <s v="No"/>
    <n v="0"/>
    <x v="4"/>
    <n v="4"/>
    <x v="0"/>
  </r>
  <r>
    <x v="221"/>
    <s v="Joana Silveira"/>
    <x v="0"/>
    <x v="220"/>
    <x v="0"/>
    <n v="15"/>
    <x v="2"/>
    <s v="Yes"/>
    <n v="30"/>
    <s v="Yes"/>
    <n v="20"/>
    <x v="10"/>
    <n v="58"/>
    <x v="0"/>
  </r>
  <r>
    <x v="222"/>
    <s v="Kléber Oliveira"/>
    <x v="2"/>
    <x v="221"/>
    <x v="1"/>
    <n v="10"/>
    <x v="0"/>
    <s v="No"/>
    <s v="-"/>
    <s v="Yes"/>
    <n v="20"/>
    <x v="2"/>
    <n v="20"/>
    <x v="0"/>
  </r>
  <r>
    <x v="223"/>
    <s v="Luciana Morais"/>
    <x v="1"/>
    <x v="222"/>
    <x v="0"/>
    <n v="5"/>
    <x v="1"/>
    <s v="No"/>
    <s v="-"/>
    <s v="No"/>
    <n v="0"/>
    <x v="1"/>
    <n v="5"/>
    <x v="1"/>
  </r>
  <r>
    <x v="224"/>
    <s v="Marcos Vinícius"/>
    <x v="0"/>
    <x v="223"/>
    <x v="1"/>
    <n v="15"/>
    <x v="0"/>
    <s v="Yes"/>
    <n v="30"/>
    <s v="Yes"/>
    <n v="20"/>
    <x v="7"/>
    <n v="45"/>
    <x v="0"/>
  </r>
  <r>
    <x v="225"/>
    <s v="Natália Barros"/>
    <x v="2"/>
    <x v="224"/>
    <x v="0"/>
    <n v="10"/>
    <x v="2"/>
    <s v="No"/>
    <s v="-"/>
    <s v="Yes"/>
    <n v="20"/>
    <x v="6"/>
    <n v="15"/>
    <x v="0"/>
  </r>
  <r>
    <x v="226"/>
    <s v="Oscar Sampaio"/>
    <x v="1"/>
    <x v="225"/>
    <x v="1"/>
    <n v="5"/>
    <x v="0"/>
    <s v="No"/>
    <s v="-"/>
    <s v="No"/>
    <n v="0"/>
    <x v="4"/>
    <n v="4"/>
    <x v="0"/>
  </r>
  <r>
    <x v="227"/>
    <s v="Patrícia Leite"/>
    <x v="0"/>
    <x v="226"/>
    <x v="0"/>
    <n v="15"/>
    <x v="1"/>
    <s v="Yes"/>
    <n v="30"/>
    <s v="Yes"/>
    <n v="20"/>
    <x v="3"/>
    <n v="62"/>
    <x v="0"/>
  </r>
  <r>
    <x v="228"/>
    <s v="Quênia Rocha"/>
    <x v="2"/>
    <x v="227"/>
    <x v="1"/>
    <n v="10"/>
    <x v="0"/>
    <s v="No"/>
    <s v="-"/>
    <s v="Yes"/>
    <n v="20"/>
    <x v="2"/>
    <n v="20"/>
    <x v="0"/>
  </r>
  <r>
    <x v="229"/>
    <s v="Rafael Torres"/>
    <x v="1"/>
    <x v="228"/>
    <x v="0"/>
    <n v="5"/>
    <x v="2"/>
    <s v="No"/>
    <s v="-"/>
    <s v="No"/>
    <n v="0"/>
    <x v="1"/>
    <n v="5"/>
    <x v="1"/>
  </r>
  <r>
    <x v="230"/>
    <s v="Sandra Gouveia"/>
    <x v="0"/>
    <x v="229"/>
    <x v="1"/>
    <n v="15"/>
    <x v="0"/>
    <s v="Yes"/>
    <n v="30"/>
    <s v="Yes"/>
    <n v="20"/>
    <x v="6"/>
    <n v="50"/>
    <x v="0"/>
  </r>
  <r>
    <x v="231"/>
    <s v="Tiago Lacerda"/>
    <x v="2"/>
    <x v="230"/>
    <x v="0"/>
    <n v="10"/>
    <x v="1"/>
    <s v="No"/>
    <s v="-"/>
    <s v="Yes"/>
    <n v="20"/>
    <x v="6"/>
    <n v="15"/>
    <x v="0"/>
  </r>
  <r>
    <x v="232"/>
    <s v="Ursula Fonseca"/>
    <x v="1"/>
    <x v="231"/>
    <x v="1"/>
    <n v="5"/>
    <x v="0"/>
    <s v="No"/>
    <s v="-"/>
    <s v="No"/>
    <n v="0"/>
    <x v="4"/>
    <n v="4"/>
    <x v="0"/>
  </r>
  <r>
    <x v="233"/>
    <s v="Vanessa Andrade"/>
    <x v="0"/>
    <x v="232"/>
    <x v="0"/>
    <n v="15"/>
    <x v="2"/>
    <s v="Yes"/>
    <n v="30"/>
    <s v="Yes"/>
    <n v="20"/>
    <x v="10"/>
    <n v="58"/>
    <x v="0"/>
  </r>
  <r>
    <x v="234"/>
    <s v="William Castro"/>
    <x v="2"/>
    <x v="233"/>
    <x v="1"/>
    <n v="10"/>
    <x v="0"/>
    <s v="No"/>
    <s v="-"/>
    <s v="Yes"/>
    <n v="20"/>
    <x v="2"/>
    <n v="20"/>
    <x v="0"/>
  </r>
  <r>
    <x v="235"/>
    <s v="Xavier Monteiro"/>
    <x v="1"/>
    <x v="234"/>
    <x v="0"/>
    <n v="5"/>
    <x v="1"/>
    <s v="No"/>
    <s v="-"/>
    <s v="No"/>
    <n v="0"/>
    <x v="1"/>
    <n v="5"/>
    <x v="1"/>
  </r>
  <r>
    <x v="236"/>
    <s v="Yasmin Figueira"/>
    <x v="0"/>
    <x v="235"/>
    <x v="1"/>
    <n v="15"/>
    <x v="0"/>
    <s v="Yes"/>
    <n v="30"/>
    <s v="Yes"/>
    <n v="20"/>
    <x v="6"/>
    <n v="50"/>
    <x v="0"/>
  </r>
  <r>
    <x v="237"/>
    <s v="Zacarias Mendonça"/>
    <x v="2"/>
    <x v="236"/>
    <x v="0"/>
    <n v="10"/>
    <x v="2"/>
    <s v="No"/>
    <s v="-"/>
    <s v="Yes"/>
    <n v="20"/>
    <x v="9"/>
    <n v="18"/>
    <x v="0"/>
  </r>
  <r>
    <x v="238"/>
    <s v="Amanda Menezes"/>
    <x v="1"/>
    <x v="237"/>
    <x v="1"/>
    <n v="5"/>
    <x v="0"/>
    <s v="No"/>
    <s v="-"/>
    <s v="No"/>
    <n v="0"/>
    <x v="5"/>
    <n v="3"/>
    <x v="0"/>
  </r>
  <r>
    <x v="239"/>
    <s v="Bruno Santos"/>
    <x v="0"/>
    <x v="238"/>
    <x v="0"/>
    <n v="15"/>
    <x v="1"/>
    <s v="Yes"/>
    <n v="30"/>
    <s v="Yes"/>
    <n v="20"/>
    <x v="0"/>
    <n v="60"/>
    <x v="0"/>
  </r>
  <r>
    <x v="240"/>
    <s v="Carla Ferreira"/>
    <x v="2"/>
    <x v="239"/>
    <x v="1"/>
    <n v="10"/>
    <x v="0"/>
    <s v="No"/>
    <s v="-"/>
    <s v="Yes"/>
    <n v="20"/>
    <x v="2"/>
    <n v="20"/>
    <x v="0"/>
  </r>
  <r>
    <x v="241"/>
    <s v="Diogo Alves"/>
    <x v="1"/>
    <x v="240"/>
    <x v="0"/>
    <n v="5"/>
    <x v="2"/>
    <s v="No"/>
    <s v="-"/>
    <s v="No"/>
    <n v="0"/>
    <x v="1"/>
    <n v="5"/>
    <x v="1"/>
  </r>
  <r>
    <x v="242"/>
    <s v="Elisa Neves"/>
    <x v="0"/>
    <x v="241"/>
    <x v="1"/>
    <n v="15"/>
    <x v="0"/>
    <s v="Yes"/>
    <n v="30"/>
    <s v="Yes"/>
    <n v="20"/>
    <x v="3"/>
    <n v="62"/>
    <x v="0"/>
  </r>
  <r>
    <x v="243"/>
    <s v="Fabiano Pires"/>
    <x v="2"/>
    <x v="242"/>
    <x v="0"/>
    <n v="10"/>
    <x v="1"/>
    <s v="No"/>
    <s v="-"/>
    <s v="Yes"/>
    <n v="20"/>
    <x v="6"/>
    <n v="15"/>
    <x v="0"/>
  </r>
  <r>
    <x v="244"/>
    <s v="Giovana Ribeiro"/>
    <x v="1"/>
    <x v="243"/>
    <x v="1"/>
    <n v="5"/>
    <x v="0"/>
    <s v="No"/>
    <s v="-"/>
    <s v="No"/>
    <n v="0"/>
    <x v="4"/>
    <n v="4"/>
    <x v="0"/>
  </r>
  <r>
    <x v="245"/>
    <s v="Hélio Costa"/>
    <x v="0"/>
    <x v="244"/>
    <x v="0"/>
    <n v="15"/>
    <x v="2"/>
    <s v="Yes"/>
    <n v="30"/>
    <s v="Yes"/>
    <n v="20"/>
    <x v="10"/>
    <n v="58"/>
    <x v="0"/>
  </r>
  <r>
    <x v="246"/>
    <s v="Íris Loureiro"/>
    <x v="2"/>
    <x v="245"/>
    <x v="1"/>
    <n v="10"/>
    <x v="0"/>
    <s v="No"/>
    <s v="-"/>
    <s v="Yes"/>
    <n v="20"/>
    <x v="2"/>
    <n v="20"/>
    <x v="0"/>
  </r>
  <r>
    <x v="247"/>
    <s v="João Pereira"/>
    <x v="1"/>
    <x v="246"/>
    <x v="0"/>
    <n v="5"/>
    <x v="1"/>
    <s v="No"/>
    <s v="-"/>
    <s v="No"/>
    <n v="0"/>
    <x v="1"/>
    <n v="5"/>
    <x v="1"/>
  </r>
  <r>
    <x v="248"/>
    <s v="Klara Silva"/>
    <x v="0"/>
    <x v="247"/>
    <x v="1"/>
    <n v="15"/>
    <x v="0"/>
    <s v="Yes"/>
    <n v="30"/>
    <s v="Yes"/>
    <n v="20"/>
    <x v="7"/>
    <n v="45"/>
    <x v="0"/>
  </r>
  <r>
    <x v="249"/>
    <s v="Luciana Barros"/>
    <x v="2"/>
    <x v="248"/>
    <x v="0"/>
    <n v="10"/>
    <x v="2"/>
    <s v="No"/>
    <s v="-"/>
    <s v="Yes"/>
    <n v="20"/>
    <x v="6"/>
    <n v="15"/>
    <x v="0"/>
  </r>
  <r>
    <x v="250"/>
    <s v="Marcos Gomes"/>
    <x v="1"/>
    <x v="249"/>
    <x v="1"/>
    <n v="5"/>
    <x v="0"/>
    <s v="No"/>
    <s v="-"/>
    <s v="No"/>
    <n v="0"/>
    <x v="4"/>
    <n v="4"/>
    <x v="0"/>
  </r>
  <r>
    <x v="251"/>
    <s v="Natália Soares"/>
    <x v="0"/>
    <x v="250"/>
    <x v="0"/>
    <n v="15"/>
    <x v="1"/>
    <s v="Yes"/>
    <n v="30"/>
    <s v="Yes"/>
    <n v="20"/>
    <x v="3"/>
    <n v="62"/>
    <x v="0"/>
  </r>
  <r>
    <x v="252"/>
    <s v="Oscar Machado"/>
    <x v="2"/>
    <x v="251"/>
    <x v="1"/>
    <n v="10"/>
    <x v="0"/>
    <s v="No"/>
    <s v="-"/>
    <s v="Yes"/>
    <n v="20"/>
    <x v="2"/>
    <n v="20"/>
    <x v="0"/>
  </r>
  <r>
    <x v="253"/>
    <s v="Patrícia Lima"/>
    <x v="1"/>
    <x v="252"/>
    <x v="0"/>
    <n v="5"/>
    <x v="2"/>
    <s v="No"/>
    <s v="-"/>
    <s v="No"/>
    <n v="0"/>
    <x v="1"/>
    <n v="5"/>
    <x v="1"/>
  </r>
  <r>
    <x v="254"/>
    <s v="Quirino Neto"/>
    <x v="0"/>
    <x v="253"/>
    <x v="1"/>
    <n v="15"/>
    <x v="0"/>
    <s v="Yes"/>
    <n v="30"/>
    <s v="Yes"/>
    <n v="20"/>
    <x v="6"/>
    <n v="50"/>
    <x v="0"/>
  </r>
  <r>
    <x v="255"/>
    <s v="Rafaela Souza"/>
    <x v="1"/>
    <x v="254"/>
    <x v="0"/>
    <n v="5"/>
    <x v="0"/>
    <s v="No"/>
    <s v="-"/>
    <s v="No"/>
    <n v="0"/>
    <x v="1"/>
    <n v="5"/>
    <x v="1"/>
  </r>
  <r>
    <x v="256"/>
    <s v="Sandro Almeida"/>
    <x v="0"/>
    <x v="255"/>
    <x v="1"/>
    <n v="15"/>
    <x v="2"/>
    <s v="Yes"/>
    <n v="30"/>
    <s v="Yes"/>
    <n v="20"/>
    <x v="10"/>
    <n v="58"/>
    <x v="0"/>
  </r>
  <r>
    <x v="257"/>
    <s v="Tânia Ribeiro"/>
    <x v="2"/>
    <x v="256"/>
    <x v="0"/>
    <n v="10"/>
    <x v="1"/>
    <s v="No"/>
    <s v="-"/>
    <s v="Yes"/>
    <n v="20"/>
    <x v="2"/>
    <n v="20"/>
    <x v="0"/>
  </r>
  <r>
    <x v="258"/>
    <s v="Ugo Dias"/>
    <x v="1"/>
    <x v="257"/>
    <x v="1"/>
    <n v="5"/>
    <x v="2"/>
    <s v="No"/>
    <s v="-"/>
    <s v="No"/>
    <n v="0"/>
    <x v="4"/>
    <n v="4"/>
    <x v="0"/>
  </r>
  <r>
    <x v="259"/>
    <s v="Valéria Lima"/>
    <x v="0"/>
    <x v="258"/>
    <x v="0"/>
    <n v="15"/>
    <x v="0"/>
    <s v="Yes"/>
    <n v="30"/>
    <s v="Yes"/>
    <n v="20"/>
    <x v="6"/>
    <n v="50"/>
    <x v="0"/>
  </r>
  <r>
    <x v="260"/>
    <s v="William Fernandes"/>
    <x v="2"/>
    <x v="259"/>
    <x v="1"/>
    <n v="10"/>
    <x v="0"/>
    <s v="No"/>
    <s v="-"/>
    <s v="Yes"/>
    <n v="20"/>
    <x v="0"/>
    <n v="25"/>
    <x v="0"/>
  </r>
  <r>
    <x v="261"/>
    <s v="Xuxa Mendes"/>
    <x v="1"/>
    <x v="260"/>
    <x v="0"/>
    <n v="5"/>
    <x v="1"/>
    <s v="No"/>
    <s v="-"/>
    <s v="No"/>
    <n v="0"/>
    <x v="1"/>
    <n v="5"/>
    <x v="1"/>
  </r>
  <r>
    <x v="262"/>
    <s v="Ygor Farias"/>
    <x v="0"/>
    <x v="261"/>
    <x v="1"/>
    <n v="15"/>
    <x v="2"/>
    <s v="Yes"/>
    <n v="30"/>
    <s v="Yes"/>
    <n v="20"/>
    <x v="7"/>
    <n v="45"/>
    <x v="0"/>
  </r>
  <r>
    <x v="263"/>
    <s v="Zilda Barros"/>
    <x v="2"/>
    <x v="262"/>
    <x v="0"/>
    <n v="10"/>
    <x v="2"/>
    <s v="No"/>
    <s v="-"/>
    <s v="Yes"/>
    <n v="20"/>
    <x v="9"/>
    <n v="18"/>
    <x v="0"/>
  </r>
  <r>
    <x v="264"/>
    <s v="Amanda Santos"/>
    <x v="1"/>
    <x v="263"/>
    <x v="1"/>
    <n v="5"/>
    <x v="0"/>
    <s v="No"/>
    <s v="-"/>
    <s v="No"/>
    <n v="0"/>
    <x v="5"/>
    <n v="3"/>
    <x v="0"/>
  </r>
  <r>
    <x v="265"/>
    <s v="Bruno Costa"/>
    <x v="0"/>
    <x v="264"/>
    <x v="0"/>
    <n v="15"/>
    <x v="1"/>
    <s v="Yes"/>
    <n v="30"/>
    <s v="Yes"/>
    <n v="20"/>
    <x v="0"/>
    <n v="60"/>
    <x v="0"/>
  </r>
  <r>
    <x v="266"/>
    <s v="Carla Rodrigues"/>
    <x v="2"/>
    <x v="265"/>
    <x v="1"/>
    <n v="10"/>
    <x v="0"/>
    <s v="No"/>
    <s v="-"/>
    <s v="Yes"/>
    <n v="20"/>
    <x v="2"/>
    <n v="20"/>
    <x v="0"/>
  </r>
  <r>
    <x v="267"/>
    <s v="Diogo Pereira"/>
    <x v="1"/>
    <x v="266"/>
    <x v="0"/>
    <n v="5"/>
    <x v="2"/>
    <s v="No"/>
    <s v="-"/>
    <s v="No"/>
    <n v="0"/>
    <x v="1"/>
    <n v="5"/>
    <x v="1"/>
  </r>
  <r>
    <x v="268"/>
    <s v="Elisa Correia"/>
    <x v="0"/>
    <x v="267"/>
    <x v="1"/>
    <n v="15"/>
    <x v="0"/>
    <s v="Yes"/>
    <n v="30"/>
    <s v="Yes"/>
    <n v="20"/>
    <x v="3"/>
    <n v="62"/>
    <x v="0"/>
  </r>
  <r>
    <x v="269"/>
    <s v="Fábio Lourenço"/>
    <x v="2"/>
    <x v="268"/>
    <x v="0"/>
    <n v="10"/>
    <x v="1"/>
    <s v="No"/>
    <s v="-"/>
    <s v="Yes"/>
    <n v="20"/>
    <x v="6"/>
    <n v="15"/>
    <x v="0"/>
  </r>
  <r>
    <x v="270"/>
    <s v="Gabriela Neves"/>
    <x v="1"/>
    <x v="269"/>
    <x v="1"/>
    <n v="5"/>
    <x v="0"/>
    <s v="No"/>
    <s v="-"/>
    <s v="No"/>
    <n v="0"/>
    <x v="4"/>
    <n v="4"/>
    <x v="0"/>
  </r>
  <r>
    <x v="271"/>
    <s v="Henrique Gonçalves"/>
    <x v="0"/>
    <x v="270"/>
    <x v="0"/>
    <n v="15"/>
    <x v="2"/>
    <s v="Yes"/>
    <n v="30"/>
    <s v="Yes"/>
    <n v="20"/>
    <x v="10"/>
    <n v="58"/>
    <x v="0"/>
  </r>
  <r>
    <x v="272"/>
    <s v="Íris Santos"/>
    <x v="2"/>
    <x v="271"/>
    <x v="1"/>
    <n v="10"/>
    <x v="0"/>
    <s v="No"/>
    <s v="-"/>
    <s v="Yes"/>
    <n v="20"/>
    <x v="2"/>
    <n v="20"/>
    <x v="0"/>
  </r>
  <r>
    <x v="273"/>
    <s v="João Marcelo Alves"/>
    <x v="1"/>
    <x v="272"/>
    <x v="0"/>
    <n v="5"/>
    <x v="1"/>
    <s v="No"/>
    <s v="-"/>
    <s v="No"/>
    <n v="0"/>
    <x v="1"/>
    <n v="5"/>
    <x v="1"/>
  </r>
  <r>
    <x v="274"/>
    <s v="Klara Fonseca"/>
    <x v="0"/>
    <x v="273"/>
    <x v="1"/>
    <n v="15"/>
    <x v="0"/>
    <s v="Yes"/>
    <n v="30"/>
    <s v="Yes"/>
    <n v="20"/>
    <x v="7"/>
    <n v="45"/>
    <x v="0"/>
  </r>
  <r>
    <x v="275"/>
    <s v="Lucas Mendonça"/>
    <x v="2"/>
    <x v="274"/>
    <x v="0"/>
    <n v="10"/>
    <x v="2"/>
    <s v="No"/>
    <s v="-"/>
    <s v="Yes"/>
    <n v="20"/>
    <x v="6"/>
    <n v="15"/>
    <x v="0"/>
  </r>
  <r>
    <x v="276"/>
    <s v="Marcela Torres"/>
    <x v="1"/>
    <x v="275"/>
    <x v="1"/>
    <n v="5"/>
    <x v="0"/>
    <s v="No"/>
    <s v="-"/>
    <s v="No"/>
    <n v="0"/>
    <x v="4"/>
    <n v="4"/>
    <x v="0"/>
  </r>
  <r>
    <x v="277"/>
    <s v="Natália Castro"/>
    <x v="0"/>
    <x v="276"/>
    <x v="0"/>
    <n v="15"/>
    <x v="1"/>
    <s v="Yes"/>
    <n v="30"/>
    <s v="Yes"/>
    <n v="20"/>
    <x v="3"/>
    <n v="62"/>
    <x v="0"/>
  </r>
  <r>
    <x v="278"/>
    <s v="Oscar Martins"/>
    <x v="2"/>
    <x v="277"/>
    <x v="1"/>
    <n v="10"/>
    <x v="0"/>
    <s v="No"/>
    <s v="-"/>
    <s v="Yes"/>
    <n v="20"/>
    <x v="2"/>
    <n v="20"/>
    <x v="0"/>
  </r>
  <r>
    <x v="279"/>
    <s v="Patrícia Oliveira"/>
    <x v="1"/>
    <x v="278"/>
    <x v="0"/>
    <n v="5"/>
    <x v="2"/>
    <s v="No"/>
    <s v="-"/>
    <s v="No"/>
    <n v="0"/>
    <x v="1"/>
    <n v="5"/>
    <x v="1"/>
  </r>
  <r>
    <x v="280"/>
    <s v="Quentin Nogueira"/>
    <x v="0"/>
    <x v="279"/>
    <x v="1"/>
    <n v="15"/>
    <x v="0"/>
    <s v="Yes"/>
    <n v="30"/>
    <s v="Yes"/>
    <n v="20"/>
    <x v="6"/>
    <n v="50"/>
    <x v="0"/>
  </r>
  <r>
    <x v="281"/>
    <s v="Raquel Silva"/>
    <x v="2"/>
    <x v="280"/>
    <x v="0"/>
    <n v="10"/>
    <x v="1"/>
    <s v="No"/>
    <s v="-"/>
    <s v="Yes"/>
    <n v="20"/>
    <x v="6"/>
    <n v="15"/>
    <x v="0"/>
  </r>
  <r>
    <x v="282"/>
    <s v="Sandro Gomes"/>
    <x v="1"/>
    <x v="281"/>
    <x v="1"/>
    <n v="5"/>
    <x v="0"/>
    <s v="No"/>
    <s v="-"/>
    <s v="No"/>
    <n v="0"/>
    <x v="4"/>
    <n v="4"/>
    <x v="0"/>
  </r>
  <r>
    <x v="283"/>
    <s v="Tânia Machado"/>
    <x v="0"/>
    <x v="282"/>
    <x v="0"/>
    <n v="15"/>
    <x v="2"/>
    <s v="Yes"/>
    <n v="30"/>
    <s v="Yes"/>
    <n v="20"/>
    <x v="10"/>
    <n v="58"/>
    <x v="0"/>
  </r>
  <r>
    <x v="284"/>
    <s v="Ursula Silva"/>
    <x v="2"/>
    <x v="283"/>
    <x v="1"/>
    <n v="10"/>
    <x v="0"/>
    <s v="No"/>
    <s v="-"/>
    <s v="Yes"/>
    <n v="20"/>
    <x v="2"/>
    <n v="20"/>
    <x v="0"/>
  </r>
  <r>
    <x v="285"/>
    <s v="Vanessa Moraes"/>
    <x v="1"/>
    <x v="284"/>
    <x v="0"/>
    <n v="5"/>
    <x v="1"/>
    <s v="No"/>
    <s v="-"/>
    <s v="No"/>
    <n v="0"/>
    <x v="1"/>
    <n v="5"/>
    <x v="1"/>
  </r>
  <r>
    <x v="286"/>
    <s v="William Carvalho"/>
    <x v="0"/>
    <x v="285"/>
    <x v="1"/>
    <n v="15"/>
    <x v="0"/>
    <s v="Yes"/>
    <n v="30"/>
    <s v="Yes"/>
    <n v="20"/>
    <x v="7"/>
    <n v="45"/>
    <x v="0"/>
  </r>
  <r>
    <x v="287"/>
    <s v="Xavier Reis"/>
    <x v="2"/>
    <x v="286"/>
    <x v="0"/>
    <n v="10"/>
    <x v="2"/>
    <s v="No"/>
    <s v="-"/>
    <s v="Yes"/>
    <n v="20"/>
    <x v="9"/>
    <n v="18"/>
    <x v="0"/>
  </r>
  <r>
    <x v="288"/>
    <s v="Yasmin Rocha"/>
    <x v="1"/>
    <x v="287"/>
    <x v="1"/>
    <n v="5"/>
    <x v="0"/>
    <s v="No"/>
    <s v="-"/>
    <s v="No"/>
    <n v="0"/>
    <x v="5"/>
    <n v="3"/>
    <x v="0"/>
  </r>
  <r>
    <x v="289"/>
    <s v="Zacarias Duarte"/>
    <x v="0"/>
    <x v="288"/>
    <x v="0"/>
    <n v="15"/>
    <x v="1"/>
    <s v="Yes"/>
    <n v="30"/>
    <s v="Yes"/>
    <n v="20"/>
    <x v="0"/>
    <n v="60"/>
    <x v="0"/>
  </r>
  <r>
    <x v="290"/>
    <s v="Amanda Freitas"/>
    <x v="2"/>
    <x v="289"/>
    <x v="1"/>
    <n v="10"/>
    <x v="0"/>
    <s v="No"/>
    <s v="-"/>
    <s v="Yes"/>
    <n v="20"/>
    <x v="2"/>
    <n v="20"/>
    <x v="0"/>
  </r>
  <r>
    <x v="291"/>
    <s v="Bruno Almeida"/>
    <x v="1"/>
    <x v="290"/>
    <x v="0"/>
    <n v="5"/>
    <x v="2"/>
    <s v="No"/>
    <s v="-"/>
    <s v="No"/>
    <n v="0"/>
    <x v="1"/>
    <n v="5"/>
    <x v="1"/>
  </r>
  <r>
    <x v="292"/>
    <s v="Carla Siqueira"/>
    <x v="0"/>
    <x v="291"/>
    <x v="1"/>
    <n v="15"/>
    <x v="0"/>
    <s v="Yes"/>
    <n v="30"/>
    <s v="Yes"/>
    <n v="20"/>
    <x v="3"/>
    <n v="62"/>
    <x v="0"/>
  </r>
  <r>
    <x v="293"/>
    <s v="Diogo Ramos"/>
    <x v="2"/>
    <x v="292"/>
    <x v="0"/>
    <n v="10"/>
    <x v="1"/>
    <s v="No"/>
    <s v="-"/>
    <s v="Yes"/>
    <n v="20"/>
    <x v="6"/>
    <n v="15"/>
    <x v="0"/>
  </r>
  <r>
    <x v="294"/>
    <s v="Elisa Magalhães"/>
    <x v="1"/>
    <x v="293"/>
    <x v="1"/>
    <n v="5"/>
    <x v="0"/>
    <s v="No"/>
    <s v="-"/>
    <s v="No"/>
    <n v="0"/>
    <x v="4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35CCF-596D-492E-8915-CB817064F258}" name="Tabela dinâmica6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87:C90" firstHeaderRow="1" firstDataRow="1" firstDataCol="1"/>
  <pivotFields count="16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axis="axisRow" dataField="1" showAll="0">
      <items count="3"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ntagem de Use Cupon" fld="13" subtotal="count" baseField="0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86C78-2456-4768-B4CE-8CA197C725FE}" name="Tabela dinâ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68:C81" firstHeaderRow="1" firstDataRow="1" firstDataCol="1"/>
  <pivotFields count="16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Coupon Value" fld="11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4B171-5E50-4B96-99BE-F3AF0260DF38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2:C36" firstHeaderRow="1" firstDataRow="1" firstDataCol="1" rowPageCount="1" colPageCount="1"/>
  <pivotFields count="16">
    <pivotField axis="axisPage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96D57-2926-4ACA-8D1E-A70060A8AA8F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1:C25" firstHeaderRow="1" firstDataRow="1" firstDataCol="1" rowPageCount="1" colPageCount="1"/>
  <pivotFields count="16">
    <pivotField axis="axisPage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590C3-AFC3-4222-9D07-F1B2643AF1B9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>
  <location ref="B46:C59" firstHeaderRow="1" firstDataRow="1" firstDataCol="1" rowPageCount="4" colPageCount="1"/>
  <pivotFields count="16">
    <pivotField showAll="0"/>
    <pivotField showAll="0"/>
    <pivotField axis="axisPage" multipleItemSelectionAllowed="1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axis="axisPage" numFmtId="44" multipleItemSelectionAllowed="1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4">
    <pageField fld="2" hier="-1"/>
    <pageField fld="6" hier="-1"/>
    <pageField fld="4" hier="-1"/>
    <pageField fld="11" hier="-1"/>
  </pageFields>
  <dataFields count="1">
    <dataField name="Valor Total de Vendas" fld="12" baseField="0" baseItem="0" numFmtId="44"/>
  </dataFields>
  <chartFormats count="2"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CA9E3-9C63-4176-A2DE-10CBC6711336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11:C14" firstHeaderRow="1" firstDataRow="1" firstDataCol="1" rowPageCount="1" colPageCount="1"/>
  <pivotFields count="16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136636BB-5F1E-4F1C-BD77-2372886C57E4}" sourceName="Plan">
  <pivotTables>
    <pivotTable tabId="3" name="Tabela dinâmica1"/>
    <pivotTable tabId="3" name="Tabela dinâmica2"/>
    <pivotTable tabId="3" name="Tabela dinâmica3"/>
    <pivotTable tabId="3" name="Tabela dinâmica4"/>
    <pivotTable tabId="3" name="Tabela dinâmica5"/>
    <pivotTable tabId="3" name="Tabela dinâmica6"/>
  </pivotTables>
  <data>
    <tabular pivotCacheId="1819755881">
      <items count="3">
        <i x="1" s="1"/>
        <i x="2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06C1D71-E698-4A6D-B9ED-B1FE0EECFEAA}" sourceName="Subscription Type">
  <pivotTables>
    <pivotTable tabId="3" name="Tabela dinâmica2"/>
    <pivotTable tabId="3" name="Tabela dinâmica1"/>
    <pivotTable tabId="3" name="Tabela dinâmica3"/>
    <pivotTable tabId="3" name="Tabela dinâmica4"/>
    <pivotTable tabId="3" name="Tabela dinâmica5"/>
    <pivotTable tabId="3" name="Tabela dinâmica6"/>
  </pivotTables>
  <data>
    <tabular pivotCacheId="1819755881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767658BB-3D49-45C4-BD72-9290BAD5FD1E}" sourceName="Auto Renewal">
  <pivotTables>
    <pivotTable tabId="3" name="Tabela dinâmica2"/>
    <pivotTable tabId="3" name="Tabela dinâmica1"/>
    <pivotTable tabId="3" name="Tabela dinâmica3"/>
    <pivotTable tabId="3" name="Tabela dinâmica4"/>
    <pivotTable tabId="3" name="Tabela dinâmica5"/>
    <pivotTable tabId="3" name="Tabela dinâmica6"/>
  </pivotTables>
  <data>
    <tabular pivotCacheId="1819755881">
      <items count="2"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6C9AE644-28A1-483E-A4F0-5861222D5ED5}" sourceName="Meses (Start Date)">
  <pivotTables>
    <pivotTable tabId="3" name="Tabela dinâmica1"/>
    <pivotTable tabId="3" name="Tabela dinâmica2"/>
    <pivotTable tabId="3" name="Tabela dinâmica3"/>
    <pivotTable tabId="3" name="Tabela dinâmica4"/>
    <pivotTable tabId="3" name="Tabela dinâmica5"/>
    <pivotTable tabId="3" name="Tabela dinâmica6"/>
  </pivotTables>
  <data>
    <tabular pivotCacheId="181975588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417A469D-00B7-4EBF-A1B5-F0117FB07BBF}" cache="SegmentaçãodeDados_Plan" caption="Plan" style="SlicerStyleLight6 2" lockedPosition="1" rowHeight="257175"/>
  <slicer name="Subscription Type" xr10:uid="{E346DC73-130A-4E62-A596-26D04BF7CA44}" cache="SegmentaçãodeDados_Subscription_Type" caption="Subscription Type" style="SlicerStyleLight6 2" lockedPosition="1" rowHeight="257175"/>
  <slicer name="Auto Renewal" xr10:uid="{7C3E051C-BFA1-4219-A3BE-8A9A4107872F}" cache="SegmentaçãodeDados_Auto_Renewal" caption="Auto Renewal" style="SlicerStyleLight6 2" lockedPosition="1" rowHeight="257175"/>
  <slicer name="Mês" xr10:uid="{C5B1397F-47A0-47C7-B1EE-4643BA3AAAD9}" cache="SegmentaçãodeDados_Meses__Start_Date" caption="Mês" columnCount="2" style="SlicerStyleLight6 2" lockedPosition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7">
  <autoFilter ref="A1:N296" xr:uid="{34E0E886-4200-4B36-97B3-63DB74FF40A0}"/>
  <tableColumns count="14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  <tableColumn id="14" xr3:uid="{F2169B7E-17CA-498A-BB37-1E9CA79CEAE7}" name="Use Cupon" dataDxfId="3" dataCellStyle="Moeda">
      <calculatedColumnFormula>IF(Tabela1[[#This Row],[Coupon Value]]=0,"No","Yes")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showGridLines="0" zoomScale="90" zoomScaleNormal="90" workbookViewId="0">
      <selection activeCell="L15" sqref="L1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3" bestFit="1" customWidth="1"/>
    <col min="13" max="13" width="10.5703125" bestFit="1" customWidth="1"/>
    <col min="14" max="14" width="13.7109375" bestFit="1" customWidth="1"/>
  </cols>
  <sheetData>
    <row r="1" spans="1:14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s="21" t="s">
        <v>345</v>
      </c>
    </row>
    <row r="2" spans="1:14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11" t="str">
        <f>IF(Tabela1[[#This Row],[Coupon Value]]=0,"No","Yes")</f>
        <v>Yes</v>
      </c>
    </row>
    <row r="3" spans="1:14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  <c r="N3" s="11" t="str">
        <f>IF(Tabela1[[#This Row],[Coupon Value]]=0,"No","Yes")</f>
        <v>No</v>
      </c>
    </row>
    <row r="4" spans="1:14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  <c r="N4" s="11" t="str">
        <f>IF(Tabela1[[#This Row],[Coupon Value]]=0,"No","Yes")</f>
        <v>Yes</v>
      </c>
    </row>
    <row r="5" spans="1:14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11" t="str">
        <f>IF(Tabela1[[#This Row],[Coupon Value]]=0,"No","Yes")</f>
        <v>Yes</v>
      </c>
    </row>
    <row r="6" spans="1:14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  <c r="N6" s="11" t="str">
        <f>IF(Tabela1[[#This Row],[Coupon Value]]=0,"No","Yes")</f>
        <v>Yes</v>
      </c>
    </row>
    <row r="7" spans="1:14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  <c r="N7" s="11" t="str">
        <f>IF(Tabela1[[#This Row],[Coupon Value]]=0,"No","Yes")</f>
        <v>Yes</v>
      </c>
    </row>
    <row r="8" spans="1:14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11" t="str">
        <f>IF(Tabela1[[#This Row],[Coupon Value]]=0,"No","Yes")</f>
        <v>Yes</v>
      </c>
    </row>
    <row r="9" spans="1:14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  <c r="N9" s="11" t="str">
        <f>IF(Tabela1[[#This Row],[Coupon Value]]=0,"No","Yes")</f>
        <v>No</v>
      </c>
    </row>
    <row r="10" spans="1:14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11" t="str">
        <f>IF(Tabela1[[#This Row],[Coupon Value]]=0,"No","Yes")</f>
        <v>Yes</v>
      </c>
    </row>
    <row r="11" spans="1:14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  <c r="N11" s="11" t="str">
        <f>IF(Tabela1[[#This Row],[Coupon Value]]=0,"No","Yes")</f>
        <v>Yes</v>
      </c>
    </row>
    <row r="12" spans="1:14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  <c r="N12" s="11" t="str">
        <f>IF(Tabela1[[#This Row],[Coupon Value]]=0,"No","Yes")</f>
        <v>Yes</v>
      </c>
    </row>
    <row r="13" spans="1:14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11" t="str">
        <f>IF(Tabela1[[#This Row],[Coupon Value]]=0,"No","Yes")</f>
        <v>Yes</v>
      </c>
    </row>
    <row r="14" spans="1:14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  <c r="N14" s="11" t="str">
        <f>IF(Tabela1[[#This Row],[Coupon Value]]=0,"No","Yes")</f>
        <v>Yes</v>
      </c>
    </row>
    <row r="15" spans="1:14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  <c r="N15" s="11" t="str">
        <f>IF(Tabela1[[#This Row],[Coupon Value]]=0,"No","Yes")</f>
        <v>No</v>
      </c>
    </row>
    <row r="16" spans="1:14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11" t="str">
        <f>IF(Tabela1[[#This Row],[Coupon Value]]=0,"No","Yes")</f>
        <v>Yes</v>
      </c>
    </row>
    <row r="17" spans="1:14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  <c r="N17" s="11" t="str">
        <f>IF(Tabela1[[#This Row],[Coupon Value]]=0,"No","Yes")</f>
        <v>Yes</v>
      </c>
    </row>
    <row r="18" spans="1:14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  <c r="N18" s="11" t="str">
        <f>IF(Tabela1[[#This Row],[Coupon Value]]=0,"No","Yes")</f>
        <v>Yes</v>
      </c>
    </row>
    <row r="19" spans="1:14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11" t="str">
        <f>IF(Tabela1[[#This Row],[Coupon Value]]=0,"No","Yes")</f>
        <v>Yes</v>
      </c>
    </row>
    <row r="20" spans="1:14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  <c r="N20" s="11" t="str">
        <f>IF(Tabela1[[#This Row],[Coupon Value]]=0,"No","Yes")</f>
        <v>Yes</v>
      </c>
    </row>
    <row r="21" spans="1:14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  <c r="N21" s="11" t="str">
        <f>IF(Tabela1[[#This Row],[Coupon Value]]=0,"No","Yes")</f>
        <v>No</v>
      </c>
    </row>
    <row r="22" spans="1:14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11" t="str">
        <f>IF(Tabela1[[#This Row],[Coupon Value]]=0,"No","Yes")</f>
        <v>Yes</v>
      </c>
    </row>
    <row r="23" spans="1:14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  <c r="N23" s="11" t="str">
        <f>IF(Tabela1[[#This Row],[Coupon Value]]=0,"No","Yes")</f>
        <v>Yes</v>
      </c>
    </row>
    <row r="24" spans="1:14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  <c r="N24" s="11" t="str">
        <f>IF(Tabela1[[#This Row],[Coupon Value]]=0,"No","Yes")</f>
        <v>Yes</v>
      </c>
    </row>
    <row r="25" spans="1:14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11" t="str">
        <f>IF(Tabela1[[#This Row],[Coupon Value]]=0,"No","Yes")</f>
        <v>Yes</v>
      </c>
    </row>
    <row r="26" spans="1:14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  <c r="N26" s="11" t="str">
        <f>IF(Tabela1[[#This Row],[Coupon Value]]=0,"No","Yes")</f>
        <v>Yes</v>
      </c>
    </row>
    <row r="27" spans="1:14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  <c r="N27" s="11" t="str">
        <f>IF(Tabela1[[#This Row],[Coupon Value]]=0,"No","Yes")</f>
        <v>No</v>
      </c>
    </row>
    <row r="28" spans="1:14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11" t="str">
        <f>IF(Tabela1[[#This Row],[Coupon Value]]=0,"No","Yes")</f>
        <v>Yes</v>
      </c>
    </row>
    <row r="29" spans="1:14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  <c r="N29" s="11" t="str">
        <f>IF(Tabela1[[#This Row],[Coupon Value]]=0,"No","Yes")</f>
        <v>Yes</v>
      </c>
    </row>
    <row r="30" spans="1:14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  <c r="N30" s="11" t="str">
        <f>IF(Tabela1[[#This Row],[Coupon Value]]=0,"No","Yes")</f>
        <v>Yes</v>
      </c>
    </row>
    <row r="31" spans="1:14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11" t="str">
        <f>IF(Tabela1[[#This Row],[Coupon Value]]=0,"No","Yes")</f>
        <v>Yes</v>
      </c>
    </row>
    <row r="32" spans="1:14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  <c r="N32" s="11" t="str">
        <f>IF(Tabela1[[#This Row],[Coupon Value]]=0,"No","Yes")</f>
        <v>Yes</v>
      </c>
    </row>
    <row r="33" spans="1:14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  <c r="N33" s="11" t="str">
        <f>IF(Tabela1[[#This Row],[Coupon Value]]=0,"No","Yes")</f>
        <v>No</v>
      </c>
    </row>
    <row r="34" spans="1:14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11" t="str">
        <f>IF(Tabela1[[#This Row],[Coupon Value]]=0,"No","Yes")</f>
        <v>Yes</v>
      </c>
    </row>
    <row r="35" spans="1:14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  <c r="N35" s="11" t="str">
        <f>IF(Tabela1[[#This Row],[Coupon Value]]=0,"No","Yes")</f>
        <v>Yes</v>
      </c>
    </row>
    <row r="36" spans="1:14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  <c r="N36" s="11" t="str">
        <f>IF(Tabela1[[#This Row],[Coupon Value]]=0,"No","Yes")</f>
        <v>Yes</v>
      </c>
    </row>
    <row r="37" spans="1:14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  <c r="N37" s="11" t="str">
        <f>IF(Tabela1[[#This Row],[Coupon Value]]=0,"No","Yes")</f>
        <v>No</v>
      </c>
    </row>
    <row r="38" spans="1:14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11" t="str">
        <f>IF(Tabela1[[#This Row],[Coupon Value]]=0,"No","Yes")</f>
        <v>Yes</v>
      </c>
    </row>
    <row r="39" spans="1:14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  <c r="N39" s="11" t="str">
        <f>IF(Tabela1[[#This Row],[Coupon Value]]=0,"No","Yes")</f>
        <v>Yes</v>
      </c>
    </row>
    <row r="40" spans="1:14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  <c r="N40" s="11" t="str">
        <f>IF(Tabela1[[#This Row],[Coupon Value]]=0,"No","Yes")</f>
        <v>Yes</v>
      </c>
    </row>
    <row r="41" spans="1:14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11" t="str">
        <f>IF(Tabela1[[#This Row],[Coupon Value]]=0,"No","Yes")</f>
        <v>Yes</v>
      </c>
    </row>
    <row r="42" spans="1:14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  <c r="N42" s="11" t="str">
        <f>IF(Tabela1[[#This Row],[Coupon Value]]=0,"No","Yes")</f>
        <v>Yes</v>
      </c>
    </row>
    <row r="43" spans="1:14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  <c r="N43" s="11" t="str">
        <f>IF(Tabela1[[#This Row],[Coupon Value]]=0,"No","Yes")</f>
        <v>No</v>
      </c>
    </row>
    <row r="44" spans="1:14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11" t="str">
        <f>IF(Tabela1[[#This Row],[Coupon Value]]=0,"No","Yes")</f>
        <v>Yes</v>
      </c>
    </row>
    <row r="45" spans="1:14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  <c r="N45" s="11" t="str">
        <f>IF(Tabela1[[#This Row],[Coupon Value]]=0,"No","Yes")</f>
        <v>Yes</v>
      </c>
    </row>
    <row r="46" spans="1:14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  <c r="N46" s="11" t="str">
        <f>IF(Tabela1[[#This Row],[Coupon Value]]=0,"No","Yes")</f>
        <v>Yes</v>
      </c>
    </row>
    <row r="47" spans="1:14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11" t="str">
        <f>IF(Tabela1[[#This Row],[Coupon Value]]=0,"No","Yes")</f>
        <v>Yes</v>
      </c>
    </row>
    <row r="48" spans="1:14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  <c r="N48" s="11" t="str">
        <f>IF(Tabela1[[#This Row],[Coupon Value]]=0,"No","Yes")</f>
        <v>Yes</v>
      </c>
    </row>
    <row r="49" spans="1:14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  <c r="N49" s="11" t="str">
        <f>IF(Tabela1[[#This Row],[Coupon Value]]=0,"No","Yes")</f>
        <v>No</v>
      </c>
    </row>
    <row r="50" spans="1:14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11" t="str">
        <f>IF(Tabela1[[#This Row],[Coupon Value]]=0,"No","Yes")</f>
        <v>Yes</v>
      </c>
    </row>
    <row r="51" spans="1:14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  <c r="N51" s="11" t="str">
        <f>IF(Tabela1[[#This Row],[Coupon Value]]=0,"No","Yes")</f>
        <v>Yes</v>
      </c>
    </row>
    <row r="52" spans="1:14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  <c r="N52" s="11" t="str">
        <f>IF(Tabela1[[#This Row],[Coupon Value]]=0,"No","Yes")</f>
        <v>Yes</v>
      </c>
    </row>
    <row r="53" spans="1:14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11" t="str">
        <f>IF(Tabela1[[#This Row],[Coupon Value]]=0,"No","Yes")</f>
        <v>Yes</v>
      </c>
    </row>
    <row r="54" spans="1:14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  <c r="N54" s="11" t="str">
        <f>IF(Tabela1[[#This Row],[Coupon Value]]=0,"No","Yes")</f>
        <v>Yes</v>
      </c>
    </row>
    <row r="55" spans="1:14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  <c r="N55" s="11" t="str">
        <f>IF(Tabela1[[#This Row],[Coupon Value]]=0,"No","Yes")</f>
        <v>No</v>
      </c>
    </row>
    <row r="56" spans="1:14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11" t="str">
        <f>IF(Tabela1[[#This Row],[Coupon Value]]=0,"No","Yes")</f>
        <v>Yes</v>
      </c>
    </row>
    <row r="57" spans="1:14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  <c r="N57" s="11" t="str">
        <f>IF(Tabela1[[#This Row],[Coupon Value]]=0,"No","Yes")</f>
        <v>Yes</v>
      </c>
    </row>
    <row r="58" spans="1:14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  <c r="N58" s="11" t="str">
        <f>IF(Tabela1[[#This Row],[Coupon Value]]=0,"No","Yes")</f>
        <v>Yes</v>
      </c>
    </row>
    <row r="59" spans="1:14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11" t="str">
        <f>IF(Tabela1[[#This Row],[Coupon Value]]=0,"No","Yes")</f>
        <v>Yes</v>
      </c>
    </row>
    <row r="60" spans="1:14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  <c r="N60" s="11" t="str">
        <f>IF(Tabela1[[#This Row],[Coupon Value]]=0,"No","Yes")</f>
        <v>Yes</v>
      </c>
    </row>
    <row r="61" spans="1:14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  <c r="N61" s="11" t="str">
        <f>IF(Tabela1[[#This Row],[Coupon Value]]=0,"No","Yes")</f>
        <v>No</v>
      </c>
    </row>
    <row r="62" spans="1:14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11" t="str">
        <f>IF(Tabela1[[#This Row],[Coupon Value]]=0,"No","Yes")</f>
        <v>Yes</v>
      </c>
    </row>
    <row r="63" spans="1:14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  <c r="N63" s="11" t="str">
        <f>IF(Tabela1[[#This Row],[Coupon Value]]=0,"No","Yes")</f>
        <v>Yes</v>
      </c>
    </row>
    <row r="64" spans="1:14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  <c r="N64" s="11" t="str">
        <f>IF(Tabela1[[#This Row],[Coupon Value]]=0,"No","Yes")</f>
        <v>Yes</v>
      </c>
    </row>
    <row r="65" spans="1:14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11" t="str">
        <f>IF(Tabela1[[#This Row],[Coupon Value]]=0,"No","Yes")</f>
        <v>Yes</v>
      </c>
    </row>
    <row r="66" spans="1:14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  <c r="N66" s="11" t="str">
        <f>IF(Tabela1[[#This Row],[Coupon Value]]=0,"No","Yes")</f>
        <v>Yes</v>
      </c>
    </row>
    <row r="67" spans="1:14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  <c r="N67" s="11" t="str">
        <f>IF(Tabela1[[#This Row],[Coupon Value]]=0,"No","Yes")</f>
        <v>No</v>
      </c>
    </row>
    <row r="68" spans="1:14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11" t="str">
        <f>IF(Tabela1[[#This Row],[Coupon Value]]=0,"No","Yes")</f>
        <v>Yes</v>
      </c>
    </row>
    <row r="69" spans="1:14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  <c r="N69" s="11" t="str">
        <f>IF(Tabela1[[#This Row],[Coupon Value]]=0,"No","Yes")</f>
        <v>Yes</v>
      </c>
    </row>
    <row r="70" spans="1:14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  <c r="N70" s="11" t="str">
        <f>IF(Tabela1[[#This Row],[Coupon Value]]=0,"No","Yes")</f>
        <v>Yes</v>
      </c>
    </row>
    <row r="71" spans="1:14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11" t="str">
        <f>IF(Tabela1[[#This Row],[Coupon Value]]=0,"No","Yes")</f>
        <v>Yes</v>
      </c>
    </row>
    <row r="72" spans="1:14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  <c r="N72" s="11" t="str">
        <f>IF(Tabela1[[#This Row],[Coupon Value]]=0,"No","Yes")</f>
        <v>Yes</v>
      </c>
    </row>
    <row r="73" spans="1:14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  <c r="N73" s="11" t="str">
        <f>IF(Tabela1[[#This Row],[Coupon Value]]=0,"No","Yes")</f>
        <v>No</v>
      </c>
    </row>
    <row r="74" spans="1:14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11" t="str">
        <f>IF(Tabela1[[#This Row],[Coupon Value]]=0,"No","Yes")</f>
        <v>Yes</v>
      </c>
    </row>
    <row r="75" spans="1:14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  <c r="N75" s="11" t="str">
        <f>IF(Tabela1[[#This Row],[Coupon Value]]=0,"No","Yes")</f>
        <v>Yes</v>
      </c>
    </row>
    <row r="76" spans="1:14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  <c r="N76" s="11" t="str">
        <f>IF(Tabela1[[#This Row],[Coupon Value]]=0,"No","Yes")</f>
        <v>Yes</v>
      </c>
    </row>
    <row r="77" spans="1:14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11" t="str">
        <f>IF(Tabela1[[#This Row],[Coupon Value]]=0,"No","Yes")</f>
        <v>Yes</v>
      </c>
    </row>
    <row r="78" spans="1:14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  <c r="N78" s="11" t="str">
        <f>IF(Tabela1[[#This Row],[Coupon Value]]=0,"No","Yes")</f>
        <v>Yes</v>
      </c>
    </row>
    <row r="79" spans="1:14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  <c r="N79" s="11" t="str">
        <f>IF(Tabela1[[#This Row],[Coupon Value]]=0,"No","Yes")</f>
        <v>No</v>
      </c>
    </row>
    <row r="80" spans="1:14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11" t="str">
        <f>IF(Tabela1[[#This Row],[Coupon Value]]=0,"No","Yes")</f>
        <v>Yes</v>
      </c>
    </row>
    <row r="81" spans="1:14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  <c r="N81" s="11" t="str">
        <f>IF(Tabela1[[#This Row],[Coupon Value]]=0,"No","Yes")</f>
        <v>Yes</v>
      </c>
    </row>
    <row r="82" spans="1:14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  <c r="N82" s="11" t="str">
        <f>IF(Tabela1[[#This Row],[Coupon Value]]=0,"No","Yes")</f>
        <v>Yes</v>
      </c>
    </row>
    <row r="83" spans="1:14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11" t="str">
        <f>IF(Tabela1[[#This Row],[Coupon Value]]=0,"No","Yes")</f>
        <v>Yes</v>
      </c>
    </row>
    <row r="84" spans="1:14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  <c r="N84" s="11" t="str">
        <f>IF(Tabela1[[#This Row],[Coupon Value]]=0,"No","Yes")</f>
        <v>Yes</v>
      </c>
    </row>
    <row r="85" spans="1:14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  <c r="N85" s="11" t="str">
        <f>IF(Tabela1[[#This Row],[Coupon Value]]=0,"No","Yes")</f>
        <v>No</v>
      </c>
    </row>
    <row r="86" spans="1:14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11" t="str">
        <f>IF(Tabela1[[#This Row],[Coupon Value]]=0,"No","Yes")</f>
        <v>Yes</v>
      </c>
    </row>
    <row r="87" spans="1:14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  <c r="N87" s="11" t="str">
        <f>IF(Tabela1[[#This Row],[Coupon Value]]=0,"No","Yes")</f>
        <v>Yes</v>
      </c>
    </row>
    <row r="88" spans="1:14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  <c r="N88" s="11" t="str">
        <f>IF(Tabela1[[#This Row],[Coupon Value]]=0,"No","Yes")</f>
        <v>Yes</v>
      </c>
    </row>
    <row r="89" spans="1:14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11" t="str">
        <f>IF(Tabela1[[#This Row],[Coupon Value]]=0,"No","Yes")</f>
        <v>Yes</v>
      </c>
    </row>
    <row r="90" spans="1:14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  <c r="N90" s="11" t="str">
        <f>IF(Tabela1[[#This Row],[Coupon Value]]=0,"No","Yes")</f>
        <v>Yes</v>
      </c>
    </row>
    <row r="91" spans="1:14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  <c r="N91" s="11" t="str">
        <f>IF(Tabela1[[#This Row],[Coupon Value]]=0,"No","Yes")</f>
        <v>No</v>
      </c>
    </row>
    <row r="92" spans="1:14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11" t="str">
        <f>IF(Tabela1[[#This Row],[Coupon Value]]=0,"No","Yes")</f>
        <v>Yes</v>
      </c>
    </row>
    <row r="93" spans="1:14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  <c r="N93" s="11" t="str">
        <f>IF(Tabela1[[#This Row],[Coupon Value]]=0,"No","Yes")</f>
        <v>Yes</v>
      </c>
    </row>
    <row r="94" spans="1:14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  <c r="N94" s="11" t="str">
        <f>IF(Tabela1[[#This Row],[Coupon Value]]=0,"No","Yes")</f>
        <v>Yes</v>
      </c>
    </row>
    <row r="95" spans="1:14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11" t="str">
        <f>IF(Tabela1[[#This Row],[Coupon Value]]=0,"No","Yes")</f>
        <v>Yes</v>
      </c>
    </row>
    <row r="96" spans="1:14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  <c r="N96" s="11" t="str">
        <f>IF(Tabela1[[#This Row],[Coupon Value]]=0,"No","Yes")</f>
        <v>Yes</v>
      </c>
    </row>
    <row r="97" spans="1:14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  <c r="N97" s="11" t="str">
        <f>IF(Tabela1[[#This Row],[Coupon Value]]=0,"No","Yes")</f>
        <v>No</v>
      </c>
    </row>
    <row r="98" spans="1:14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11" t="str">
        <f>IF(Tabela1[[#This Row],[Coupon Value]]=0,"No","Yes")</f>
        <v>Yes</v>
      </c>
    </row>
    <row r="99" spans="1:14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  <c r="N99" s="11" t="str">
        <f>IF(Tabela1[[#This Row],[Coupon Value]]=0,"No","Yes")</f>
        <v>Yes</v>
      </c>
    </row>
    <row r="100" spans="1:14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  <c r="N100" s="11" t="str">
        <f>IF(Tabela1[[#This Row],[Coupon Value]]=0,"No","Yes")</f>
        <v>Yes</v>
      </c>
    </row>
    <row r="101" spans="1:14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11" t="str">
        <f>IF(Tabela1[[#This Row],[Coupon Value]]=0,"No","Yes")</f>
        <v>Yes</v>
      </c>
    </row>
    <row r="102" spans="1:14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  <c r="N102" s="11" t="str">
        <f>IF(Tabela1[[#This Row],[Coupon Value]]=0,"No","Yes")</f>
        <v>Yes</v>
      </c>
    </row>
    <row r="103" spans="1:14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  <c r="N103" s="11" t="str">
        <f>IF(Tabela1[[#This Row],[Coupon Value]]=0,"No","Yes")</f>
        <v>No</v>
      </c>
    </row>
    <row r="104" spans="1:14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11" t="str">
        <f>IF(Tabela1[[#This Row],[Coupon Value]]=0,"No","Yes")</f>
        <v>Yes</v>
      </c>
    </row>
    <row r="105" spans="1:14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  <c r="N105" s="11" t="str">
        <f>IF(Tabela1[[#This Row],[Coupon Value]]=0,"No","Yes")</f>
        <v>Yes</v>
      </c>
    </row>
    <row r="106" spans="1:14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  <c r="N106" s="11" t="str">
        <f>IF(Tabela1[[#This Row],[Coupon Value]]=0,"No","Yes")</f>
        <v>Yes</v>
      </c>
    </row>
    <row r="107" spans="1:14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  <c r="N107" s="11" t="str">
        <f>IF(Tabela1[[#This Row],[Coupon Value]]=0,"No","Yes")</f>
        <v>No</v>
      </c>
    </row>
    <row r="108" spans="1:14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11" t="str">
        <f>IF(Tabela1[[#This Row],[Coupon Value]]=0,"No","Yes")</f>
        <v>Yes</v>
      </c>
    </row>
    <row r="109" spans="1:14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  <c r="N109" s="11" t="str">
        <f>IF(Tabela1[[#This Row],[Coupon Value]]=0,"No","Yes")</f>
        <v>Yes</v>
      </c>
    </row>
    <row r="110" spans="1:14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  <c r="N110" s="11" t="str">
        <f>IF(Tabela1[[#This Row],[Coupon Value]]=0,"No","Yes")</f>
        <v>Yes</v>
      </c>
    </row>
    <row r="111" spans="1:14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11" t="str">
        <f>IF(Tabela1[[#This Row],[Coupon Value]]=0,"No","Yes")</f>
        <v>Yes</v>
      </c>
    </row>
    <row r="112" spans="1:14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  <c r="N112" s="11" t="str">
        <f>IF(Tabela1[[#This Row],[Coupon Value]]=0,"No","Yes")</f>
        <v>Yes</v>
      </c>
    </row>
    <row r="113" spans="1:14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  <c r="N113" s="11" t="str">
        <f>IF(Tabela1[[#This Row],[Coupon Value]]=0,"No","Yes")</f>
        <v>No</v>
      </c>
    </row>
    <row r="114" spans="1:14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11" t="str">
        <f>IF(Tabela1[[#This Row],[Coupon Value]]=0,"No","Yes")</f>
        <v>Yes</v>
      </c>
    </row>
    <row r="115" spans="1:14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  <c r="N115" s="11" t="str">
        <f>IF(Tabela1[[#This Row],[Coupon Value]]=0,"No","Yes")</f>
        <v>Yes</v>
      </c>
    </row>
    <row r="116" spans="1:14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  <c r="N116" s="11" t="str">
        <f>IF(Tabela1[[#This Row],[Coupon Value]]=0,"No","Yes")</f>
        <v>Yes</v>
      </c>
    </row>
    <row r="117" spans="1:14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11" t="str">
        <f>IF(Tabela1[[#This Row],[Coupon Value]]=0,"No","Yes")</f>
        <v>Yes</v>
      </c>
    </row>
    <row r="118" spans="1:14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  <c r="N118" s="11" t="str">
        <f>IF(Tabela1[[#This Row],[Coupon Value]]=0,"No","Yes")</f>
        <v>Yes</v>
      </c>
    </row>
    <row r="119" spans="1:14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  <c r="N119" s="11" t="str">
        <f>IF(Tabela1[[#This Row],[Coupon Value]]=0,"No","Yes")</f>
        <v>No</v>
      </c>
    </row>
    <row r="120" spans="1:14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11" t="str">
        <f>IF(Tabela1[[#This Row],[Coupon Value]]=0,"No","Yes")</f>
        <v>Yes</v>
      </c>
    </row>
    <row r="121" spans="1:14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  <c r="N121" s="11" t="str">
        <f>IF(Tabela1[[#This Row],[Coupon Value]]=0,"No","Yes")</f>
        <v>Yes</v>
      </c>
    </row>
    <row r="122" spans="1:14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  <c r="N122" s="11" t="str">
        <f>IF(Tabela1[[#This Row],[Coupon Value]]=0,"No","Yes")</f>
        <v>Yes</v>
      </c>
    </row>
    <row r="123" spans="1:14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11" t="str">
        <f>IF(Tabela1[[#This Row],[Coupon Value]]=0,"No","Yes")</f>
        <v>Yes</v>
      </c>
    </row>
    <row r="124" spans="1:14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  <c r="N124" s="11" t="str">
        <f>IF(Tabela1[[#This Row],[Coupon Value]]=0,"No","Yes")</f>
        <v>Yes</v>
      </c>
    </row>
    <row r="125" spans="1:14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  <c r="N125" s="11" t="str">
        <f>IF(Tabela1[[#This Row],[Coupon Value]]=0,"No","Yes")</f>
        <v>No</v>
      </c>
    </row>
    <row r="126" spans="1:14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11" t="str">
        <f>IF(Tabela1[[#This Row],[Coupon Value]]=0,"No","Yes")</f>
        <v>Yes</v>
      </c>
    </row>
    <row r="127" spans="1:14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  <c r="N127" s="11" t="str">
        <f>IF(Tabela1[[#This Row],[Coupon Value]]=0,"No","Yes")</f>
        <v>Yes</v>
      </c>
    </row>
    <row r="128" spans="1:14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  <c r="N128" s="11" t="str">
        <f>IF(Tabela1[[#This Row],[Coupon Value]]=0,"No","Yes")</f>
        <v>Yes</v>
      </c>
    </row>
    <row r="129" spans="1:14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11" t="str">
        <f>IF(Tabela1[[#This Row],[Coupon Value]]=0,"No","Yes")</f>
        <v>Yes</v>
      </c>
    </row>
    <row r="130" spans="1:14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  <c r="N130" s="11" t="str">
        <f>IF(Tabela1[[#This Row],[Coupon Value]]=0,"No","Yes")</f>
        <v>Yes</v>
      </c>
    </row>
    <row r="131" spans="1:14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  <c r="N131" s="11" t="str">
        <f>IF(Tabela1[[#This Row],[Coupon Value]]=0,"No","Yes")</f>
        <v>No</v>
      </c>
    </row>
    <row r="132" spans="1:14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11" t="str">
        <f>IF(Tabela1[[#This Row],[Coupon Value]]=0,"No","Yes")</f>
        <v>Yes</v>
      </c>
    </row>
    <row r="133" spans="1:14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  <c r="N133" s="11" t="str">
        <f>IF(Tabela1[[#This Row],[Coupon Value]]=0,"No","Yes")</f>
        <v>Yes</v>
      </c>
    </row>
    <row r="134" spans="1:14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  <c r="N134" s="11" t="str">
        <f>IF(Tabela1[[#This Row],[Coupon Value]]=0,"No","Yes")</f>
        <v>Yes</v>
      </c>
    </row>
    <row r="135" spans="1:14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11" t="str">
        <f>IF(Tabela1[[#This Row],[Coupon Value]]=0,"No","Yes")</f>
        <v>Yes</v>
      </c>
    </row>
    <row r="136" spans="1:14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  <c r="N136" s="11" t="str">
        <f>IF(Tabela1[[#This Row],[Coupon Value]]=0,"No","Yes")</f>
        <v>Yes</v>
      </c>
    </row>
    <row r="137" spans="1:14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  <c r="N137" s="11" t="str">
        <f>IF(Tabela1[[#This Row],[Coupon Value]]=0,"No","Yes")</f>
        <v>No</v>
      </c>
    </row>
    <row r="138" spans="1:14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11" t="str">
        <f>IF(Tabela1[[#This Row],[Coupon Value]]=0,"No","Yes")</f>
        <v>Yes</v>
      </c>
    </row>
    <row r="139" spans="1:14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  <c r="N139" s="11" t="str">
        <f>IF(Tabela1[[#This Row],[Coupon Value]]=0,"No","Yes")</f>
        <v>Yes</v>
      </c>
    </row>
    <row r="140" spans="1:14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  <c r="N140" s="11" t="str">
        <f>IF(Tabela1[[#This Row],[Coupon Value]]=0,"No","Yes")</f>
        <v>Yes</v>
      </c>
    </row>
    <row r="141" spans="1:14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11" t="str">
        <f>IF(Tabela1[[#This Row],[Coupon Value]]=0,"No","Yes")</f>
        <v>Yes</v>
      </c>
    </row>
    <row r="142" spans="1:14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  <c r="N142" s="11" t="str">
        <f>IF(Tabela1[[#This Row],[Coupon Value]]=0,"No","Yes")</f>
        <v>Yes</v>
      </c>
    </row>
    <row r="143" spans="1:14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  <c r="N143" s="11" t="str">
        <f>IF(Tabela1[[#This Row],[Coupon Value]]=0,"No","Yes")</f>
        <v>No</v>
      </c>
    </row>
    <row r="144" spans="1:14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11" t="str">
        <f>IF(Tabela1[[#This Row],[Coupon Value]]=0,"No","Yes")</f>
        <v>Yes</v>
      </c>
    </row>
    <row r="145" spans="1:14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  <c r="N145" s="11" t="str">
        <f>IF(Tabela1[[#This Row],[Coupon Value]]=0,"No","Yes")</f>
        <v>Yes</v>
      </c>
    </row>
    <row r="146" spans="1:14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  <c r="N146" s="11" t="str">
        <f>IF(Tabela1[[#This Row],[Coupon Value]]=0,"No","Yes")</f>
        <v>Yes</v>
      </c>
    </row>
    <row r="147" spans="1:14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11" t="str">
        <f>IF(Tabela1[[#This Row],[Coupon Value]]=0,"No","Yes")</f>
        <v>Yes</v>
      </c>
    </row>
    <row r="148" spans="1:14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  <c r="N148" s="11" t="str">
        <f>IF(Tabela1[[#This Row],[Coupon Value]]=0,"No","Yes")</f>
        <v>Yes</v>
      </c>
    </row>
    <row r="149" spans="1:14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  <c r="N149" s="11" t="str">
        <f>IF(Tabela1[[#This Row],[Coupon Value]]=0,"No","Yes")</f>
        <v>No</v>
      </c>
    </row>
    <row r="150" spans="1:14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11" t="str">
        <f>IF(Tabela1[[#This Row],[Coupon Value]]=0,"No","Yes")</f>
        <v>Yes</v>
      </c>
    </row>
    <row r="151" spans="1:14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  <c r="N151" s="11" t="str">
        <f>IF(Tabela1[[#This Row],[Coupon Value]]=0,"No","Yes")</f>
        <v>Yes</v>
      </c>
    </row>
    <row r="152" spans="1:14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  <c r="N152" s="11" t="str">
        <f>IF(Tabela1[[#This Row],[Coupon Value]]=0,"No","Yes")</f>
        <v>Yes</v>
      </c>
    </row>
    <row r="153" spans="1:14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11" t="str">
        <f>IF(Tabela1[[#This Row],[Coupon Value]]=0,"No","Yes")</f>
        <v>Yes</v>
      </c>
    </row>
    <row r="154" spans="1:14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  <c r="N154" s="11" t="str">
        <f>IF(Tabela1[[#This Row],[Coupon Value]]=0,"No","Yes")</f>
        <v>Yes</v>
      </c>
    </row>
    <row r="155" spans="1:14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  <c r="N155" s="11" t="str">
        <f>IF(Tabela1[[#This Row],[Coupon Value]]=0,"No","Yes")</f>
        <v>No</v>
      </c>
    </row>
    <row r="156" spans="1:14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11" t="str">
        <f>IF(Tabela1[[#This Row],[Coupon Value]]=0,"No","Yes")</f>
        <v>Yes</v>
      </c>
    </row>
    <row r="157" spans="1:14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  <c r="N157" s="11" t="str">
        <f>IF(Tabela1[[#This Row],[Coupon Value]]=0,"No","Yes")</f>
        <v>Yes</v>
      </c>
    </row>
    <row r="158" spans="1:14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  <c r="N158" s="11" t="str">
        <f>IF(Tabela1[[#This Row],[Coupon Value]]=0,"No","Yes")</f>
        <v>Yes</v>
      </c>
    </row>
    <row r="159" spans="1:14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11" t="str">
        <f>IF(Tabela1[[#This Row],[Coupon Value]]=0,"No","Yes")</f>
        <v>Yes</v>
      </c>
    </row>
    <row r="160" spans="1:14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  <c r="N160" s="11" t="str">
        <f>IF(Tabela1[[#This Row],[Coupon Value]]=0,"No","Yes")</f>
        <v>Yes</v>
      </c>
    </row>
    <row r="161" spans="1:14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  <c r="N161" s="11" t="str">
        <f>IF(Tabela1[[#This Row],[Coupon Value]]=0,"No","Yes")</f>
        <v>No</v>
      </c>
    </row>
    <row r="162" spans="1:14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11" t="str">
        <f>IF(Tabela1[[#This Row],[Coupon Value]]=0,"No","Yes")</f>
        <v>Yes</v>
      </c>
    </row>
    <row r="163" spans="1:14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  <c r="N163" s="11" t="str">
        <f>IF(Tabela1[[#This Row],[Coupon Value]]=0,"No","Yes")</f>
        <v>Yes</v>
      </c>
    </row>
    <row r="164" spans="1:14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  <c r="N164" s="11" t="str">
        <f>IF(Tabela1[[#This Row],[Coupon Value]]=0,"No","Yes")</f>
        <v>Yes</v>
      </c>
    </row>
    <row r="165" spans="1:14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11" t="str">
        <f>IF(Tabela1[[#This Row],[Coupon Value]]=0,"No","Yes")</f>
        <v>Yes</v>
      </c>
    </row>
    <row r="166" spans="1:14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  <c r="N166" s="11" t="str">
        <f>IF(Tabela1[[#This Row],[Coupon Value]]=0,"No","Yes")</f>
        <v>Yes</v>
      </c>
    </row>
    <row r="167" spans="1:14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  <c r="N167" s="11" t="str">
        <f>IF(Tabela1[[#This Row],[Coupon Value]]=0,"No","Yes")</f>
        <v>No</v>
      </c>
    </row>
    <row r="168" spans="1:14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11" t="str">
        <f>IF(Tabela1[[#This Row],[Coupon Value]]=0,"No","Yes")</f>
        <v>Yes</v>
      </c>
    </row>
    <row r="169" spans="1:14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  <c r="N169" s="11" t="str">
        <f>IF(Tabela1[[#This Row],[Coupon Value]]=0,"No","Yes")</f>
        <v>Yes</v>
      </c>
    </row>
    <row r="170" spans="1:14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  <c r="N170" s="11" t="str">
        <f>IF(Tabela1[[#This Row],[Coupon Value]]=0,"No","Yes")</f>
        <v>Yes</v>
      </c>
    </row>
    <row r="171" spans="1:14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11" t="str">
        <f>IF(Tabela1[[#This Row],[Coupon Value]]=0,"No","Yes")</f>
        <v>Yes</v>
      </c>
    </row>
    <row r="172" spans="1:14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  <c r="N172" s="11" t="str">
        <f>IF(Tabela1[[#This Row],[Coupon Value]]=0,"No","Yes")</f>
        <v>Yes</v>
      </c>
    </row>
    <row r="173" spans="1:14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  <c r="N173" s="11" t="str">
        <f>IF(Tabela1[[#This Row],[Coupon Value]]=0,"No","Yes")</f>
        <v>No</v>
      </c>
    </row>
    <row r="174" spans="1:14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11" t="str">
        <f>IF(Tabela1[[#This Row],[Coupon Value]]=0,"No","Yes")</f>
        <v>Yes</v>
      </c>
    </row>
    <row r="175" spans="1:14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  <c r="N175" s="11" t="str">
        <f>IF(Tabela1[[#This Row],[Coupon Value]]=0,"No","Yes")</f>
        <v>Yes</v>
      </c>
    </row>
    <row r="176" spans="1:14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  <c r="N176" s="11" t="str">
        <f>IF(Tabela1[[#This Row],[Coupon Value]]=0,"No","Yes")</f>
        <v>Yes</v>
      </c>
    </row>
    <row r="177" spans="1:14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  <c r="N177" s="11" t="str">
        <f>IF(Tabela1[[#This Row],[Coupon Value]]=0,"No","Yes")</f>
        <v>No</v>
      </c>
    </row>
    <row r="178" spans="1:14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11" t="str">
        <f>IF(Tabela1[[#This Row],[Coupon Value]]=0,"No","Yes")</f>
        <v>Yes</v>
      </c>
    </row>
    <row r="179" spans="1:14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  <c r="N179" s="11" t="str">
        <f>IF(Tabela1[[#This Row],[Coupon Value]]=0,"No","Yes")</f>
        <v>Yes</v>
      </c>
    </row>
    <row r="180" spans="1:14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  <c r="N180" s="11" t="str">
        <f>IF(Tabela1[[#This Row],[Coupon Value]]=0,"No","Yes")</f>
        <v>Yes</v>
      </c>
    </row>
    <row r="181" spans="1:14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11" t="str">
        <f>IF(Tabela1[[#This Row],[Coupon Value]]=0,"No","Yes")</f>
        <v>Yes</v>
      </c>
    </row>
    <row r="182" spans="1:14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  <c r="N182" s="11" t="str">
        <f>IF(Tabela1[[#This Row],[Coupon Value]]=0,"No","Yes")</f>
        <v>Yes</v>
      </c>
    </row>
    <row r="183" spans="1:14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  <c r="N183" s="11" t="str">
        <f>IF(Tabela1[[#This Row],[Coupon Value]]=0,"No","Yes")</f>
        <v>No</v>
      </c>
    </row>
    <row r="184" spans="1:14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11" t="str">
        <f>IF(Tabela1[[#This Row],[Coupon Value]]=0,"No","Yes")</f>
        <v>Yes</v>
      </c>
    </row>
    <row r="185" spans="1:14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  <c r="N185" s="11" t="str">
        <f>IF(Tabela1[[#This Row],[Coupon Value]]=0,"No","Yes")</f>
        <v>Yes</v>
      </c>
    </row>
    <row r="186" spans="1:14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  <c r="N186" s="11" t="str">
        <f>IF(Tabela1[[#This Row],[Coupon Value]]=0,"No","Yes")</f>
        <v>Yes</v>
      </c>
    </row>
    <row r="187" spans="1:14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11" t="str">
        <f>IF(Tabela1[[#This Row],[Coupon Value]]=0,"No","Yes")</f>
        <v>Yes</v>
      </c>
    </row>
    <row r="188" spans="1:14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  <c r="N188" s="11" t="str">
        <f>IF(Tabela1[[#This Row],[Coupon Value]]=0,"No","Yes")</f>
        <v>Yes</v>
      </c>
    </row>
    <row r="189" spans="1:14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  <c r="N189" s="11" t="str">
        <f>IF(Tabela1[[#This Row],[Coupon Value]]=0,"No","Yes")</f>
        <v>No</v>
      </c>
    </row>
    <row r="190" spans="1:14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11" t="str">
        <f>IF(Tabela1[[#This Row],[Coupon Value]]=0,"No","Yes")</f>
        <v>Yes</v>
      </c>
    </row>
    <row r="191" spans="1:14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  <c r="N191" s="11" t="str">
        <f>IF(Tabela1[[#This Row],[Coupon Value]]=0,"No","Yes")</f>
        <v>Yes</v>
      </c>
    </row>
    <row r="192" spans="1:14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  <c r="N192" s="11" t="str">
        <f>IF(Tabela1[[#This Row],[Coupon Value]]=0,"No","Yes")</f>
        <v>Yes</v>
      </c>
    </row>
    <row r="193" spans="1:14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11" t="str">
        <f>IF(Tabela1[[#This Row],[Coupon Value]]=0,"No","Yes")</f>
        <v>Yes</v>
      </c>
    </row>
    <row r="194" spans="1:14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  <c r="N194" s="11" t="str">
        <f>IF(Tabela1[[#This Row],[Coupon Value]]=0,"No","Yes")</f>
        <v>Yes</v>
      </c>
    </row>
    <row r="195" spans="1:14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  <c r="N195" s="11" t="str">
        <f>IF(Tabela1[[#This Row],[Coupon Value]]=0,"No","Yes")</f>
        <v>No</v>
      </c>
    </row>
    <row r="196" spans="1:14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11" t="str">
        <f>IF(Tabela1[[#This Row],[Coupon Value]]=0,"No","Yes")</f>
        <v>Yes</v>
      </c>
    </row>
    <row r="197" spans="1:14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  <c r="N197" s="11" t="str">
        <f>IF(Tabela1[[#This Row],[Coupon Value]]=0,"No","Yes")</f>
        <v>Yes</v>
      </c>
    </row>
    <row r="198" spans="1:14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  <c r="N198" s="11" t="str">
        <f>IF(Tabela1[[#This Row],[Coupon Value]]=0,"No","Yes")</f>
        <v>Yes</v>
      </c>
    </row>
    <row r="199" spans="1:14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11" t="str">
        <f>IF(Tabela1[[#This Row],[Coupon Value]]=0,"No","Yes")</f>
        <v>Yes</v>
      </c>
    </row>
    <row r="200" spans="1:14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  <c r="N200" s="11" t="str">
        <f>IF(Tabela1[[#This Row],[Coupon Value]]=0,"No","Yes")</f>
        <v>Yes</v>
      </c>
    </row>
    <row r="201" spans="1:14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  <c r="N201" s="11" t="str">
        <f>IF(Tabela1[[#This Row],[Coupon Value]]=0,"No","Yes")</f>
        <v>No</v>
      </c>
    </row>
    <row r="202" spans="1:14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11" t="str">
        <f>IF(Tabela1[[#This Row],[Coupon Value]]=0,"No","Yes")</f>
        <v>Yes</v>
      </c>
    </row>
    <row r="203" spans="1:14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  <c r="N203" s="11" t="str">
        <f>IF(Tabela1[[#This Row],[Coupon Value]]=0,"No","Yes")</f>
        <v>Yes</v>
      </c>
    </row>
    <row r="204" spans="1:14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  <c r="N204" s="11" t="str">
        <f>IF(Tabela1[[#This Row],[Coupon Value]]=0,"No","Yes")</f>
        <v>Yes</v>
      </c>
    </row>
    <row r="205" spans="1:14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11" t="str">
        <f>IF(Tabela1[[#This Row],[Coupon Value]]=0,"No","Yes")</f>
        <v>Yes</v>
      </c>
    </row>
    <row r="206" spans="1:14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  <c r="N206" s="11" t="str">
        <f>IF(Tabela1[[#This Row],[Coupon Value]]=0,"No","Yes")</f>
        <v>Yes</v>
      </c>
    </row>
    <row r="207" spans="1:14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  <c r="N207" s="11" t="str">
        <f>IF(Tabela1[[#This Row],[Coupon Value]]=0,"No","Yes")</f>
        <v>No</v>
      </c>
    </row>
    <row r="208" spans="1:14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11" t="str">
        <f>IF(Tabela1[[#This Row],[Coupon Value]]=0,"No","Yes")</f>
        <v>Yes</v>
      </c>
    </row>
    <row r="209" spans="1:14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  <c r="N209" s="11" t="str">
        <f>IF(Tabela1[[#This Row],[Coupon Value]]=0,"No","Yes")</f>
        <v>Yes</v>
      </c>
    </row>
    <row r="210" spans="1:14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  <c r="N210" s="11" t="str">
        <f>IF(Tabela1[[#This Row],[Coupon Value]]=0,"No","Yes")</f>
        <v>Yes</v>
      </c>
    </row>
    <row r="211" spans="1:14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11" t="str">
        <f>IF(Tabela1[[#This Row],[Coupon Value]]=0,"No","Yes")</f>
        <v>Yes</v>
      </c>
    </row>
    <row r="212" spans="1:14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  <c r="N212" s="11" t="str">
        <f>IF(Tabela1[[#This Row],[Coupon Value]]=0,"No","Yes")</f>
        <v>Yes</v>
      </c>
    </row>
    <row r="213" spans="1:14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  <c r="N213" s="11" t="str">
        <f>IF(Tabela1[[#This Row],[Coupon Value]]=0,"No","Yes")</f>
        <v>No</v>
      </c>
    </row>
    <row r="214" spans="1:14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11" t="str">
        <f>IF(Tabela1[[#This Row],[Coupon Value]]=0,"No","Yes")</f>
        <v>Yes</v>
      </c>
    </row>
    <row r="215" spans="1:14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  <c r="N215" s="11" t="str">
        <f>IF(Tabela1[[#This Row],[Coupon Value]]=0,"No","Yes")</f>
        <v>Yes</v>
      </c>
    </row>
    <row r="216" spans="1:14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  <c r="N216" s="11" t="str">
        <f>IF(Tabela1[[#This Row],[Coupon Value]]=0,"No","Yes")</f>
        <v>Yes</v>
      </c>
    </row>
    <row r="217" spans="1:14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11" t="str">
        <f>IF(Tabela1[[#This Row],[Coupon Value]]=0,"No","Yes")</f>
        <v>Yes</v>
      </c>
    </row>
    <row r="218" spans="1:14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  <c r="N218" s="11" t="str">
        <f>IF(Tabela1[[#This Row],[Coupon Value]]=0,"No","Yes")</f>
        <v>Yes</v>
      </c>
    </row>
    <row r="219" spans="1:14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  <c r="N219" s="11" t="str">
        <f>IF(Tabela1[[#This Row],[Coupon Value]]=0,"No","Yes")</f>
        <v>No</v>
      </c>
    </row>
    <row r="220" spans="1:14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11" t="str">
        <f>IF(Tabela1[[#This Row],[Coupon Value]]=0,"No","Yes")</f>
        <v>Yes</v>
      </c>
    </row>
    <row r="221" spans="1:14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  <c r="N221" s="11" t="str">
        <f>IF(Tabela1[[#This Row],[Coupon Value]]=0,"No","Yes")</f>
        <v>Yes</v>
      </c>
    </row>
    <row r="222" spans="1:14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  <c r="N222" s="11" t="str">
        <f>IF(Tabela1[[#This Row],[Coupon Value]]=0,"No","Yes")</f>
        <v>Yes</v>
      </c>
    </row>
    <row r="223" spans="1:14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11" t="str">
        <f>IF(Tabela1[[#This Row],[Coupon Value]]=0,"No","Yes")</f>
        <v>Yes</v>
      </c>
    </row>
    <row r="224" spans="1:14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  <c r="N224" s="11" t="str">
        <f>IF(Tabela1[[#This Row],[Coupon Value]]=0,"No","Yes")</f>
        <v>Yes</v>
      </c>
    </row>
    <row r="225" spans="1:14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  <c r="N225" s="11" t="str">
        <f>IF(Tabela1[[#This Row],[Coupon Value]]=0,"No","Yes")</f>
        <v>No</v>
      </c>
    </row>
    <row r="226" spans="1:14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11" t="str">
        <f>IF(Tabela1[[#This Row],[Coupon Value]]=0,"No","Yes")</f>
        <v>Yes</v>
      </c>
    </row>
    <row r="227" spans="1:14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  <c r="N227" s="11" t="str">
        <f>IF(Tabela1[[#This Row],[Coupon Value]]=0,"No","Yes")</f>
        <v>Yes</v>
      </c>
    </row>
    <row r="228" spans="1:14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  <c r="N228" s="11" t="str">
        <f>IF(Tabela1[[#This Row],[Coupon Value]]=0,"No","Yes")</f>
        <v>Yes</v>
      </c>
    </row>
    <row r="229" spans="1:14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11" t="str">
        <f>IF(Tabela1[[#This Row],[Coupon Value]]=0,"No","Yes")</f>
        <v>Yes</v>
      </c>
    </row>
    <row r="230" spans="1:14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  <c r="N230" s="11" t="str">
        <f>IF(Tabela1[[#This Row],[Coupon Value]]=0,"No","Yes")</f>
        <v>Yes</v>
      </c>
    </row>
    <row r="231" spans="1:14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  <c r="N231" s="11" t="str">
        <f>IF(Tabela1[[#This Row],[Coupon Value]]=0,"No","Yes")</f>
        <v>No</v>
      </c>
    </row>
    <row r="232" spans="1:14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11" t="str">
        <f>IF(Tabela1[[#This Row],[Coupon Value]]=0,"No","Yes")</f>
        <v>Yes</v>
      </c>
    </row>
    <row r="233" spans="1:14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  <c r="N233" s="11" t="str">
        <f>IF(Tabela1[[#This Row],[Coupon Value]]=0,"No","Yes")</f>
        <v>Yes</v>
      </c>
    </row>
    <row r="234" spans="1:14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  <c r="N234" s="11" t="str">
        <f>IF(Tabela1[[#This Row],[Coupon Value]]=0,"No","Yes")</f>
        <v>Yes</v>
      </c>
    </row>
    <row r="235" spans="1:14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11" t="str">
        <f>IF(Tabela1[[#This Row],[Coupon Value]]=0,"No","Yes")</f>
        <v>Yes</v>
      </c>
    </row>
    <row r="236" spans="1:14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  <c r="N236" s="11" t="str">
        <f>IF(Tabela1[[#This Row],[Coupon Value]]=0,"No","Yes")</f>
        <v>Yes</v>
      </c>
    </row>
    <row r="237" spans="1:14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  <c r="N237" s="11" t="str">
        <f>IF(Tabela1[[#This Row],[Coupon Value]]=0,"No","Yes")</f>
        <v>No</v>
      </c>
    </row>
    <row r="238" spans="1:14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11" t="str">
        <f>IF(Tabela1[[#This Row],[Coupon Value]]=0,"No","Yes")</f>
        <v>Yes</v>
      </c>
    </row>
    <row r="239" spans="1:14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  <c r="N239" s="11" t="str">
        <f>IF(Tabela1[[#This Row],[Coupon Value]]=0,"No","Yes")</f>
        <v>Yes</v>
      </c>
    </row>
    <row r="240" spans="1:14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  <c r="N240" s="11" t="str">
        <f>IF(Tabela1[[#This Row],[Coupon Value]]=0,"No","Yes")</f>
        <v>Yes</v>
      </c>
    </row>
    <row r="241" spans="1:14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11" t="str">
        <f>IF(Tabela1[[#This Row],[Coupon Value]]=0,"No","Yes")</f>
        <v>Yes</v>
      </c>
    </row>
    <row r="242" spans="1:14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  <c r="N242" s="11" t="str">
        <f>IF(Tabela1[[#This Row],[Coupon Value]]=0,"No","Yes")</f>
        <v>Yes</v>
      </c>
    </row>
    <row r="243" spans="1:14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  <c r="N243" s="11" t="str">
        <f>IF(Tabela1[[#This Row],[Coupon Value]]=0,"No","Yes")</f>
        <v>No</v>
      </c>
    </row>
    <row r="244" spans="1:14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11" t="str">
        <f>IF(Tabela1[[#This Row],[Coupon Value]]=0,"No","Yes")</f>
        <v>Yes</v>
      </c>
    </row>
    <row r="245" spans="1:14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  <c r="N245" s="11" t="str">
        <f>IF(Tabela1[[#This Row],[Coupon Value]]=0,"No","Yes")</f>
        <v>Yes</v>
      </c>
    </row>
    <row r="246" spans="1:14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  <c r="N246" s="11" t="str">
        <f>IF(Tabela1[[#This Row],[Coupon Value]]=0,"No","Yes")</f>
        <v>Yes</v>
      </c>
    </row>
    <row r="247" spans="1:14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11" t="str">
        <f>IF(Tabela1[[#This Row],[Coupon Value]]=0,"No","Yes")</f>
        <v>Yes</v>
      </c>
    </row>
    <row r="248" spans="1:14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  <c r="N248" s="11" t="str">
        <f>IF(Tabela1[[#This Row],[Coupon Value]]=0,"No","Yes")</f>
        <v>Yes</v>
      </c>
    </row>
    <row r="249" spans="1:14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  <c r="N249" s="11" t="str">
        <f>IF(Tabela1[[#This Row],[Coupon Value]]=0,"No","Yes")</f>
        <v>No</v>
      </c>
    </row>
    <row r="250" spans="1:14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11" t="str">
        <f>IF(Tabela1[[#This Row],[Coupon Value]]=0,"No","Yes")</f>
        <v>Yes</v>
      </c>
    </row>
    <row r="251" spans="1:14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  <c r="N251" s="11" t="str">
        <f>IF(Tabela1[[#This Row],[Coupon Value]]=0,"No","Yes")</f>
        <v>Yes</v>
      </c>
    </row>
    <row r="252" spans="1:14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  <c r="N252" s="11" t="str">
        <f>IF(Tabela1[[#This Row],[Coupon Value]]=0,"No","Yes")</f>
        <v>Yes</v>
      </c>
    </row>
    <row r="253" spans="1:14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11" t="str">
        <f>IF(Tabela1[[#This Row],[Coupon Value]]=0,"No","Yes")</f>
        <v>Yes</v>
      </c>
    </row>
    <row r="254" spans="1:14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  <c r="N254" s="11" t="str">
        <f>IF(Tabela1[[#This Row],[Coupon Value]]=0,"No","Yes")</f>
        <v>Yes</v>
      </c>
    </row>
    <row r="255" spans="1:14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  <c r="N255" s="11" t="str">
        <f>IF(Tabela1[[#This Row],[Coupon Value]]=0,"No","Yes")</f>
        <v>No</v>
      </c>
    </row>
    <row r="256" spans="1:14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11" t="str">
        <f>IF(Tabela1[[#This Row],[Coupon Value]]=0,"No","Yes")</f>
        <v>Yes</v>
      </c>
    </row>
    <row r="257" spans="1:14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  <c r="N257" s="11" t="str">
        <f>IF(Tabela1[[#This Row],[Coupon Value]]=0,"No","Yes")</f>
        <v>No</v>
      </c>
    </row>
    <row r="258" spans="1:14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11" t="str">
        <f>IF(Tabela1[[#This Row],[Coupon Value]]=0,"No","Yes")</f>
        <v>Yes</v>
      </c>
    </row>
    <row r="259" spans="1:14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  <c r="N259" s="11" t="str">
        <f>IF(Tabela1[[#This Row],[Coupon Value]]=0,"No","Yes")</f>
        <v>Yes</v>
      </c>
    </row>
    <row r="260" spans="1:14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  <c r="N260" s="11" t="str">
        <f>IF(Tabela1[[#This Row],[Coupon Value]]=0,"No","Yes")</f>
        <v>Yes</v>
      </c>
    </row>
    <row r="261" spans="1:14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11" t="str">
        <f>IF(Tabela1[[#This Row],[Coupon Value]]=0,"No","Yes")</f>
        <v>Yes</v>
      </c>
    </row>
    <row r="262" spans="1:14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  <c r="N262" s="11" t="str">
        <f>IF(Tabela1[[#This Row],[Coupon Value]]=0,"No","Yes")</f>
        <v>Yes</v>
      </c>
    </row>
    <row r="263" spans="1:14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  <c r="N263" s="11" t="str">
        <f>IF(Tabela1[[#This Row],[Coupon Value]]=0,"No","Yes")</f>
        <v>No</v>
      </c>
    </row>
    <row r="264" spans="1:14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11" t="str">
        <f>IF(Tabela1[[#This Row],[Coupon Value]]=0,"No","Yes")</f>
        <v>Yes</v>
      </c>
    </row>
    <row r="265" spans="1:14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  <c r="N265" s="11" t="str">
        <f>IF(Tabela1[[#This Row],[Coupon Value]]=0,"No","Yes")</f>
        <v>Yes</v>
      </c>
    </row>
    <row r="266" spans="1:14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  <c r="N266" s="11" t="str">
        <f>IF(Tabela1[[#This Row],[Coupon Value]]=0,"No","Yes")</f>
        <v>Yes</v>
      </c>
    </row>
    <row r="267" spans="1:14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11" t="str">
        <f>IF(Tabela1[[#This Row],[Coupon Value]]=0,"No","Yes")</f>
        <v>Yes</v>
      </c>
    </row>
    <row r="268" spans="1:14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  <c r="N268" s="11" t="str">
        <f>IF(Tabela1[[#This Row],[Coupon Value]]=0,"No","Yes")</f>
        <v>Yes</v>
      </c>
    </row>
    <row r="269" spans="1:14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  <c r="N269" s="11" t="str">
        <f>IF(Tabela1[[#This Row],[Coupon Value]]=0,"No","Yes")</f>
        <v>No</v>
      </c>
    </row>
    <row r="270" spans="1:14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11" t="str">
        <f>IF(Tabela1[[#This Row],[Coupon Value]]=0,"No","Yes")</f>
        <v>Yes</v>
      </c>
    </row>
    <row r="271" spans="1:14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  <c r="N271" s="11" t="str">
        <f>IF(Tabela1[[#This Row],[Coupon Value]]=0,"No","Yes")</f>
        <v>Yes</v>
      </c>
    </row>
    <row r="272" spans="1:14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  <c r="N272" s="11" t="str">
        <f>IF(Tabela1[[#This Row],[Coupon Value]]=0,"No","Yes")</f>
        <v>Yes</v>
      </c>
    </row>
    <row r="273" spans="1:14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11" t="str">
        <f>IF(Tabela1[[#This Row],[Coupon Value]]=0,"No","Yes")</f>
        <v>Yes</v>
      </c>
    </row>
    <row r="274" spans="1:14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  <c r="N274" s="11" t="str">
        <f>IF(Tabela1[[#This Row],[Coupon Value]]=0,"No","Yes")</f>
        <v>Yes</v>
      </c>
    </row>
    <row r="275" spans="1:14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  <c r="N275" s="11" t="str">
        <f>IF(Tabela1[[#This Row],[Coupon Value]]=0,"No","Yes")</f>
        <v>No</v>
      </c>
    </row>
    <row r="276" spans="1:14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11" t="str">
        <f>IF(Tabela1[[#This Row],[Coupon Value]]=0,"No","Yes")</f>
        <v>Yes</v>
      </c>
    </row>
    <row r="277" spans="1:14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  <c r="N277" s="11" t="str">
        <f>IF(Tabela1[[#This Row],[Coupon Value]]=0,"No","Yes")</f>
        <v>Yes</v>
      </c>
    </row>
    <row r="278" spans="1:14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  <c r="N278" s="11" t="str">
        <f>IF(Tabela1[[#This Row],[Coupon Value]]=0,"No","Yes")</f>
        <v>Yes</v>
      </c>
    </row>
    <row r="279" spans="1:14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11" t="str">
        <f>IF(Tabela1[[#This Row],[Coupon Value]]=0,"No","Yes")</f>
        <v>Yes</v>
      </c>
    </row>
    <row r="280" spans="1:14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  <c r="N280" s="11" t="str">
        <f>IF(Tabela1[[#This Row],[Coupon Value]]=0,"No","Yes")</f>
        <v>Yes</v>
      </c>
    </row>
    <row r="281" spans="1:14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  <c r="N281" s="11" t="str">
        <f>IF(Tabela1[[#This Row],[Coupon Value]]=0,"No","Yes")</f>
        <v>No</v>
      </c>
    </row>
    <row r="282" spans="1:14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11" t="str">
        <f>IF(Tabela1[[#This Row],[Coupon Value]]=0,"No","Yes")</f>
        <v>Yes</v>
      </c>
    </row>
    <row r="283" spans="1:14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  <c r="N283" s="11" t="str">
        <f>IF(Tabela1[[#This Row],[Coupon Value]]=0,"No","Yes")</f>
        <v>Yes</v>
      </c>
    </row>
    <row r="284" spans="1:14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  <c r="N284" s="11" t="str">
        <f>IF(Tabela1[[#This Row],[Coupon Value]]=0,"No","Yes")</f>
        <v>Yes</v>
      </c>
    </row>
    <row r="285" spans="1:14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11" t="str">
        <f>IF(Tabela1[[#This Row],[Coupon Value]]=0,"No","Yes")</f>
        <v>Yes</v>
      </c>
    </row>
    <row r="286" spans="1:14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  <c r="N286" s="11" t="str">
        <f>IF(Tabela1[[#This Row],[Coupon Value]]=0,"No","Yes")</f>
        <v>Yes</v>
      </c>
    </row>
    <row r="287" spans="1:14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  <c r="N287" s="11" t="str">
        <f>IF(Tabela1[[#This Row],[Coupon Value]]=0,"No","Yes")</f>
        <v>No</v>
      </c>
    </row>
    <row r="288" spans="1:14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11" t="str">
        <f>IF(Tabela1[[#This Row],[Coupon Value]]=0,"No","Yes")</f>
        <v>Yes</v>
      </c>
    </row>
    <row r="289" spans="1:14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  <c r="N289" s="11" t="str">
        <f>IF(Tabela1[[#This Row],[Coupon Value]]=0,"No","Yes")</f>
        <v>Yes</v>
      </c>
    </row>
    <row r="290" spans="1:14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  <c r="N290" s="11" t="str">
        <f>IF(Tabela1[[#This Row],[Coupon Value]]=0,"No","Yes")</f>
        <v>Yes</v>
      </c>
    </row>
    <row r="291" spans="1:14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11" t="str">
        <f>IF(Tabela1[[#This Row],[Coupon Value]]=0,"No","Yes")</f>
        <v>Yes</v>
      </c>
    </row>
    <row r="292" spans="1:14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  <c r="N292" s="11" t="str">
        <f>IF(Tabela1[[#This Row],[Coupon Value]]=0,"No","Yes")</f>
        <v>Yes</v>
      </c>
    </row>
    <row r="293" spans="1:14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  <c r="N293" s="11" t="str">
        <f>IF(Tabela1[[#This Row],[Coupon Value]]=0,"No","Yes")</f>
        <v>No</v>
      </c>
    </row>
    <row r="294" spans="1:14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11" t="str">
        <f>IF(Tabela1[[#This Row],[Coupon Value]]=0,"No","Yes")</f>
        <v>Yes</v>
      </c>
    </row>
    <row r="295" spans="1:14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  <c r="N295" s="11" t="str">
        <f>IF(Tabela1[[#This Row],[Coupon Value]]=0,"No","Yes")</f>
        <v>Yes</v>
      </c>
    </row>
    <row r="296" spans="1:14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  <c r="N296" s="11" t="str">
        <f>IF(Tabela1[[#This Row],[Coupon Value]]=0,"No","Yes")</f>
        <v>Yes</v>
      </c>
    </row>
  </sheetData>
  <sheetProtection sheet="1" objects="1" scenarios="1"/>
  <conditionalFormatting sqref="B2:B296">
    <cfRule type="duplicateValues" dxfId="2" priority="1"/>
  </conditionalFormatting>
  <pageMargins left="0.511811024" right="0.511811024" top="0.78740157499999996" bottom="0.78740157499999996" header="0.31496062000000002" footer="0.31496062000000002"/>
  <pageSetup paperSize="9" orientation="portrait" verticalDpi="599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G90"/>
  <sheetViews>
    <sheetView showGridLines="0" topLeftCell="A73" workbookViewId="0">
      <selection activeCell="F73" sqref="F73"/>
    </sheetView>
  </sheetViews>
  <sheetFormatPr defaultRowHeight="15" x14ac:dyDescent="0.25"/>
  <cols>
    <col min="2" max="2" width="18.42578125" bestFit="1" customWidth="1"/>
    <col min="3" max="3" width="23.7109375" bestFit="1" customWidth="1"/>
    <col min="4" max="4" width="16.710937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4" x14ac:dyDescent="0.25">
      <c r="D1" s="15" t="s">
        <v>332</v>
      </c>
    </row>
    <row r="3" spans="2:4" x14ac:dyDescent="0.25">
      <c r="B3" s="16" t="s">
        <v>331</v>
      </c>
    </row>
    <row r="6" spans="2:4" x14ac:dyDescent="0.25">
      <c r="B6" t="s">
        <v>333</v>
      </c>
    </row>
    <row r="7" spans="2:4" x14ac:dyDescent="0.25">
      <c r="B7" t="s">
        <v>330</v>
      </c>
    </row>
    <row r="9" spans="2:4" x14ac:dyDescent="0.25">
      <c r="B9" s="12" t="s">
        <v>16</v>
      </c>
      <c r="C9" t="s">
        <v>328</v>
      </c>
    </row>
    <row r="11" spans="2:4" x14ac:dyDescent="0.25">
      <c r="B11" s="12" t="s">
        <v>313</v>
      </c>
      <c r="C11" t="s">
        <v>327</v>
      </c>
    </row>
    <row r="12" spans="2:4" x14ac:dyDescent="0.25">
      <c r="B12" s="13" t="s">
        <v>23</v>
      </c>
      <c r="C12" s="14">
        <v>3847</v>
      </c>
    </row>
    <row r="13" spans="2:4" x14ac:dyDescent="0.25">
      <c r="B13" s="13" t="s">
        <v>19</v>
      </c>
      <c r="C13" s="14">
        <v>3786</v>
      </c>
    </row>
    <row r="14" spans="2:4" x14ac:dyDescent="0.25">
      <c r="B14" s="13" t="s">
        <v>314</v>
      </c>
      <c r="C14" s="14">
        <v>7633</v>
      </c>
    </row>
    <row r="17" spans="2:5" x14ac:dyDescent="0.25">
      <c r="B17" t="s">
        <v>334</v>
      </c>
    </row>
    <row r="19" spans="2:5" x14ac:dyDescent="0.25">
      <c r="B19" s="12" t="s">
        <v>11</v>
      </c>
      <c r="C19" t="s">
        <v>328</v>
      </c>
    </row>
    <row r="21" spans="2:5" x14ac:dyDescent="0.25">
      <c r="B21" s="12" t="s">
        <v>313</v>
      </c>
      <c r="C21" t="s">
        <v>335</v>
      </c>
    </row>
    <row r="22" spans="2:5" x14ac:dyDescent="0.25">
      <c r="B22" s="13" t="s">
        <v>22</v>
      </c>
      <c r="C22" s="20">
        <v>0</v>
      </c>
    </row>
    <row r="23" spans="2:5" x14ac:dyDescent="0.25">
      <c r="B23" s="13" t="s">
        <v>26</v>
      </c>
      <c r="C23" s="20">
        <v>0</v>
      </c>
      <c r="E23" t="s">
        <v>343</v>
      </c>
    </row>
    <row r="24" spans="2:5" x14ac:dyDescent="0.25">
      <c r="B24" s="13" t="s">
        <v>18</v>
      </c>
      <c r="C24" s="20">
        <v>2940</v>
      </c>
      <c r="E24" s="17">
        <f>GETPIVOTDATA("EA Play Season Pass
Price",$B$21)</f>
        <v>2940</v>
      </c>
    </row>
    <row r="25" spans="2:5" x14ac:dyDescent="0.25">
      <c r="B25" s="13" t="s">
        <v>314</v>
      </c>
      <c r="C25" s="20">
        <v>2940</v>
      </c>
    </row>
    <row r="28" spans="2:5" x14ac:dyDescent="0.25">
      <c r="B28" t="s">
        <v>337</v>
      </c>
    </row>
    <row r="30" spans="2:5" x14ac:dyDescent="0.25">
      <c r="B30" s="12" t="s">
        <v>11</v>
      </c>
      <c r="C30" t="s">
        <v>328</v>
      </c>
    </row>
    <row r="32" spans="2:5" x14ac:dyDescent="0.25">
      <c r="B32" s="12" t="s">
        <v>313</v>
      </c>
      <c r="C32" t="s">
        <v>336</v>
      </c>
    </row>
    <row r="33" spans="2:5" x14ac:dyDescent="0.25">
      <c r="B33" s="13" t="s">
        <v>22</v>
      </c>
      <c r="C33" s="14">
        <v>0</v>
      </c>
    </row>
    <row r="34" spans="2:5" x14ac:dyDescent="0.25">
      <c r="B34" s="13" t="s">
        <v>26</v>
      </c>
      <c r="C34" s="14">
        <v>1920</v>
      </c>
      <c r="E34" t="s">
        <v>342</v>
      </c>
    </row>
    <row r="35" spans="2:5" x14ac:dyDescent="0.25">
      <c r="B35" s="13" t="s">
        <v>18</v>
      </c>
      <c r="C35" s="14">
        <v>1960</v>
      </c>
      <c r="E35" s="17">
        <f>GETPIVOTDATA("Minecraft Season Pass Price",$B$32)</f>
        <v>3880</v>
      </c>
    </row>
    <row r="36" spans="2:5" x14ac:dyDescent="0.25">
      <c r="B36" s="13" t="s">
        <v>314</v>
      </c>
      <c r="C36" s="14">
        <v>3880</v>
      </c>
    </row>
    <row r="39" spans="2:5" x14ac:dyDescent="0.25">
      <c r="B39" t="s">
        <v>329</v>
      </c>
    </row>
    <row r="41" spans="2:5" x14ac:dyDescent="0.25">
      <c r="B41" s="12" t="s">
        <v>13</v>
      </c>
      <c r="C41" t="s">
        <v>328</v>
      </c>
    </row>
    <row r="42" spans="2:5" x14ac:dyDescent="0.25">
      <c r="B42" s="12" t="s">
        <v>16</v>
      </c>
      <c r="C42" t="s">
        <v>328</v>
      </c>
    </row>
    <row r="43" spans="2:5" x14ac:dyDescent="0.25">
      <c r="B43" s="12" t="s">
        <v>15</v>
      </c>
      <c r="C43" t="s">
        <v>328</v>
      </c>
    </row>
    <row r="44" spans="2:5" x14ac:dyDescent="0.25">
      <c r="B44" s="12" t="s">
        <v>32</v>
      </c>
      <c r="C44" t="s">
        <v>328</v>
      </c>
    </row>
    <row r="46" spans="2:5" x14ac:dyDescent="0.25">
      <c r="B46" s="12" t="s">
        <v>313</v>
      </c>
      <c r="C46" t="s">
        <v>339</v>
      </c>
    </row>
    <row r="47" spans="2:5" x14ac:dyDescent="0.25">
      <c r="B47" s="13" t="s">
        <v>315</v>
      </c>
      <c r="C47" s="14">
        <v>65</v>
      </c>
    </row>
    <row r="48" spans="2:5" x14ac:dyDescent="0.25">
      <c r="B48" s="13" t="s">
        <v>316</v>
      </c>
      <c r="C48" s="14">
        <v>82</v>
      </c>
    </row>
    <row r="49" spans="2:5" x14ac:dyDescent="0.25">
      <c r="B49" s="13" t="s">
        <v>317</v>
      </c>
      <c r="C49" s="14">
        <v>801</v>
      </c>
    </row>
    <row r="50" spans="2:5" x14ac:dyDescent="0.25">
      <c r="B50" s="13" t="s">
        <v>318</v>
      </c>
      <c r="C50" s="14">
        <v>782</v>
      </c>
    </row>
    <row r="51" spans="2:5" x14ac:dyDescent="0.25">
      <c r="B51" s="13" t="s">
        <v>319</v>
      </c>
      <c r="C51" s="14">
        <v>777</v>
      </c>
    </row>
    <row r="52" spans="2:5" x14ac:dyDescent="0.25">
      <c r="B52" s="13" t="s">
        <v>320</v>
      </c>
      <c r="C52" s="14">
        <v>770</v>
      </c>
    </row>
    <row r="53" spans="2:5" x14ac:dyDescent="0.25">
      <c r="B53" s="13" t="s">
        <v>321</v>
      </c>
      <c r="C53" s="14">
        <v>784</v>
      </c>
    </row>
    <row r="54" spans="2:5" x14ac:dyDescent="0.25">
      <c r="B54" s="13" t="s">
        <v>322</v>
      </c>
      <c r="C54" s="14">
        <v>787</v>
      </c>
    </row>
    <row r="55" spans="2:5" x14ac:dyDescent="0.25">
      <c r="B55" s="13" t="s">
        <v>323</v>
      </c>
      <c r="C55" s="14">
        <v>780</v>
      </c>
    </row>
    <row r="56" spans="2:5" x14ac:dyDescent="0.25">
      <c r="B56" s="13" t="s">
        <v>324</v>
      </c>
      <c r="C56" s="14">
        <v>832</v>
      </c>
    </row>
    <row r="57" spans="2:5" x14ac:dyDescent="0.25">
      <c r="B57" s="13" t="s">
        <v>325</v>
      </c>
      <c r="C57" s="14">
        <v>784</v>
      </c>
      <c r="E57" t="s">
        <v>341</v>
      </c>
    </row>
    <row r="58" spans="2:5" x14ac:dyDescent="0.25">
      <c r="B58" s="13" t="s">
        <v>326</v>
      </c>
      <c r="C58" s="14">
        <v>389</v>
      </c>
      <c r="E58" s="17">
        <f>GETPIVOTDATA("Total Value",$B$46)</f>
        <v>7633</v>
      </c>
    </row>
    <row r="59" spans="2:5" x14ac:dyDescent="0.25">
      <c r="B59" s="13" t="s">
        <v>314</v>
      </c>
      <c r="C59" s="14">
        <v>7633</v>
      </c>
    </row>
    <row r="66" spans="2:7" x14ac:dyDescent="0.25">
      <c r="B66" s="13" t="s">
        <v>351</v>
      </c>
    </row>
    <row r="68" spans="2:7" x14ac:dyDescent="0.25">
      <c r="B68" s="12" t="s">
        <v>313</v>
      </c>
      <c r="C68" t="s">
        <v>338</v>
      </c>
    </row>
    <row r="69" spans="2:7" x14ac:dyDescent="0.25">
      <c r="B69" s="13" t="s">
        <v>315</v>
      </c>
      <c r="C69" s="14">
        <v>5</v>
      </c>
    </row>
    <row r="70" spans="2:7" x14ac:dyDescent="0.25">
      <c r="B70" s="13" t="s">
        <v>316</v>
      </c>
      <c r="C70" s="14">
        <v>13</v>
      </c>
    </row>
    <row r="71" spans="2:7" x14ac:dyDescent="0.25">
      <c r="B71" s="13" t="s">
        <v>317</v>
      </c>
      <c r="C71" s="14">
        <v>204</v>
      </c>
    </row>
    <row r="72" spans="2:7" x14ac:dyDescent="0.25">
      <c r="B72" s="13" t="s">
        <v>318</v>
      </c>
      <c r="C72" s="14">
        <v>218</v>
      </c>
    </row>
    <row r="73" spans="2:7" x14ac:dyDescent="0.25">
      <c r="B73" s="13" t="s">
        <v>319</v>
      </c>
      <c r="C73" s="14">
        <v>228</v>
      </c>
    </row>
    <row r="74" spans="2:7" x14ac:dyDescent="0.25">
      <c r="B74" s="13" t="s">
        <v>320</v>
      </c>
      <c r="C74" s="14">
        <v>230</v>
      </c>
    </row>
    <row r="75" spans="2:7" x14ac:dyDescent="0.25">
      <c r="B75" s="13" t="s">
        <v>321</v>
      </c>
      <c r="C75" s="14">
        <v>221</v>
      </c>
    </row>
    <row r="76" spans="2:7" x14ac:dyDescent="0.25">
      <c r="B76" s="13" t="s">
        <v>322</v>
      </c>
      <c r="C76" s="14">
        <v>218</v>
      </c>
    </row>
    <row r="77" spans="2:7" x14ac:dyDescent="0.25">
      <c r="B77" s="13" t="s">
        <v>323</v>
      </c>
      <c r="C77" s="14">
        <v>220</v>
      </c>
    </row>
    <row r="78" spans="2:7" x14ac:dyDescent="0.25">
      <c r="B78" s="13" t="s">
        <v>324</v>
      </c>
      <c r="C78" s="14">
        <v>233</v>
      </c>
    </row>
    <row r="79" spans="2:7" x14ac:dyDescent="0.25">
      <c r="B79" s="13" t="s">
        <v>325</v>
      </c>
      <c r="C79" s="14">
        <v>216</v>
      </c>
      <c r="E79" t="s">
        <v>340</v>
      </c>
      <c r="G79" t="s">
        <v>344</v>
      </c>
    </row>
    <row r="80" spans="2:7" x14ac:dyDescent="0.25">
      <c r="B80" s="13" t="s">
        <v>326</v>
      </c>
      <c r="C80" s="14">
        <v>116</v>
      </c>
      <c r="E80" s="17">
        <f>GETPIVOTDATA("Coupon Value",$B$68)</f>
        <v>2122</v>
      </c>
      <c r="G80" s="18">
        <f>E58-E80</f>
        <v>5511</v>
      </c>
    </row>
    <row r="81" spans="2:6" x14ac:dyDescent="0.25">
      <c r="B81" s="13" t="s">
        <v>314</v>
      </c>
      <c r="C81" s="14">
        <v>2122</v>
      </c>
    </row>
    <row r="84" spans="2:6" x14ac:dyDescent="0.25">
      <c r="B84" s="13" t="s">
        <v>346</v>
      </c>
    </row>
    <row r="87" spans="2:6" x14ac:dyDescent="0.25">
      <c r="B87" s="12" t="s">
        <v>313</v>
      </c>
      <c r="C87" t="s">
        <v>347</v>
      </c>
    </row>
    <row r="88" spans="2:6" x14ac:dyDescent="0.25">
      <c r="B88" s="13" t="s">
        <v>23</v>
      </c>
      <c r="C88" s="20">
        <v>51</v>
      </c>
      <c r="E88" t="s">
        <v>348</v>
      </c>
      <c r="F88" s="23">
        <f>IFERROR(ROUND(GETPIVOTDATA("Contagem de Use Cupon",$B$87,"Use Cupon","No")/GETPIVOTDATA("Contagem de Use Cupon",$B$87),4),0)</f>
        <v>0.1729</v>
      </c>
    </row>
    <row r="89" spans="2:6" x14ac:dyDescent="0.25">
      <c r="B89" s="13" t="s">
        <v>19</v>
      </c>
      <c r="C89" s="20">
        <v>244</v>
      </c>
      <c r="E89" t="s">
        <v>349</v>
      </c>
      <c r="F89" s="23">
        <f>IFERROR(ROUND(GETPIVOTDATA("Contagem de Use Cupon",$B$87,"Use Cupon","Yes")/GETPIVOTDATA("Contagem de Use Cupon",$B$87),4),0)</f>
        <v>0.82709999999999995</v>
      </c>
    </row>
    <row r="90" spans="2:6" x14ac:dyDescent="0.25">
      <c r="B90" s="13" t="s">
        <v>314</v>
      </c>
      <c r="C90" s="20">
        <v>295</v>
      </c>
      <c r="E90" t="s">
        <v>350</v>
      </c>
      <c r="F90" s="22">
        <f>F88+F89</f>
        <v>1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G140"/>
  <sheetViews>
    <sheetView showGridLines="0" showRowColHeaders="0" tabSelected="1" zoomScale="55" zoomScaleNormal="55" workbookViewId="0">
      <selection activeCell="P8" sqref="P8"/>
    </sheetView>
  </sheetViews>
  <sheetFormatPr defaultRowHeight="15" x14ac:dyDescent="0.25"/>
  <cols>
    <col min="1" max="1" width="38.85546875" style="4" customWidth="1"/>
    <col min="2" max="2" width="3.5703125" customWidth="1"/>
    <col min="12" max="12" width="6.5703125" customWidth="1"/>
  </cols>
  <sheetData>
    <row r="1" spans="1:1" s="19" customFormat="1" x14ac:dyDescent="0.25">
      <c r="A1" s="4"/>
    </row>
    <row r="2" spans="1:1" s="19" customFormat="1" ht="39" customHeight="1" x14ac:dyDescent="0.25">
      <c r="A2" s="4"/>
    </row>
    <row r="3" spans="1:1" ht="8.25" customHeight="1" x14ac:dyDescent="0.25"/>
    <row r="4" spans="1:1" s="5" customFormat="1" ht="7.5" customHeight="1" x14ac:dyDescent="0.25">
      <c r="A4" s="4"/>
    </row>
    <row r="5" spans="1:1" s="7" customFormat="1" ht="10.5" customHeight="1" x14ac:dyDescent="0.25">
      <c r="A5" s="4"/>
    </row>
    <row r="6" spans="1:1" s="7" customFormat="1" ht="9.75" customHeight="1" x14ac:dyDescent="0.25">
      <c r="A6" s="4"/>
    </row>
    <row r="7" spans="1:1" s="7" customFormat="1" ht="33" customHeight="1" x14ac:dyDescent="0.25">
      <c r="A7" s="4"/>
    </row>
    <row r="8" spans="1:1" s="7" customFormat="1" x14ac:dyDescent="0.25">
      <c r="A8" s="4"/>
    </row>
    <row r="9" spans="1:1" s="7" customFormat="1" x14ac:dyDescent="0.25">
      <c r="A9" s="4"/>
    </row>
    <row r="10" spans="1:1" s="7" customFormat="1" x14ac:dyDescent="0.25">
      <c r="A10" s="4"/>
    </row>
    <row r="11" spans="1:1" s="7" customFormat="1" x14ac:dyDescent="0.25">
      <c r="A11" s="4"/>
    </row>
    <row r="12" spans="1:1" s="7" customFormat="1" x14ac:dyDescent="0.25">
      <c r="A12" s="4"/>
    </row>
    <row r="13" spans="1:1" s="7" customFormat="1" x14ac:dyDescent="0.25">
      <c r="A13" s="4"/>
    </row>
    <row r="14" spans="1:1" s="7" customFormat="1" x14ac:dyDescent="0.25">
      <c r="A14" s="4"/>
    </row>
    <row r="15" spans="1:1" s="7" customFormat="1" x14ac:dyDescent="0.25">
      <c r="A15" s="4"/>
    </row>
    <row r="16" spans="1:1" s="7" customFormat="1" x14ac:dyDescent="0.25">
      <c r="A16" s="4"/>
    </row>
    <row r="17" spans="1:33" s="7" customFormat="1" x14ac:dyDescent="0.25">
      <c r="A17" s="4"/>
    </row>
    <row r="18" spans="1:33" s="7" customFormat="1" x14ac:dyDescent="0.25">
      <c r="A18" s="4"/>
    </row>
    <row r="19" spans="1:33" s="7" customFormat="1" x14ac:dyDescent="0.25">
      <c r="A19" s="4"/>
    </row>
    <row r="20" spans="1:33" s="7" customFormat="1" x14ac:dyDescent="0.25">
      <c r="A20" s="4"/>
    </row>
    <row r="21" spans="1:33" s="7" customFormat="1" x14ac:dyDescent="0.25">
      <c r="A21" s="4"/>
    </row>
    <row r="22" spans="1:33" s="7" customFormat="1" x14ac:dyDescent="0.25">
      <c r="A22" s="4"/>
    </row>
    <row r="23" spans="1:33" s="7" customFormat="1" x14ac:dyDescent="0.25">
      <c r="A23" s="4"/>
    </row>
    <row r="24" spans="1:33" s="7" customFormat="1" x14ac:dyDescent="0.25">
      <c r="A24" s="4"/>
    </row>
    <row r="25" spans="1:33" s="7" customFormat="1" x14ac:dyDescent="0.25">
      <c r="A25" s="4"/>
    </row>
    <row r="26" spans="1:33" s="7" customFormat="1" x14ac:dyDescent="0.25">
      <c r="A26" s="4"/>
    </row>
    <row r="27" spans="1:33" s="7" customFormat="1" x14ac:dyDescent="0.25">
      <c r="A27" s="4"/>
    </row>
    <row r="28" spans="1:33" s="7" customFormat="1" x14ac:dyDescent="0.25">
      <c r="A28" s="4"/>
    </row>
    <row r="29" spans="1:33" s="7" customFormat="1" x14ac:dyDescent="0.25">
      <c r="A29" s="4"/>
    </row>
    <row r="30" spans="1:33" s="7" customFormat="1" x14ac:dyDescent="0.25">
      <c r="A30" s="4"/>
    </row>
    <row r="31" spans="1:33" s="7" customFormat="1" x14ac:dyDescent="0.25">
      <c r="A31" s="4"/>
    </row>
    <row r="32" spans="1:33" s="7" customFormat="1" ht="18.75" x14ac:dyDescent="0.3">
      <c r="A32" s="4"/>
      <c r="AG32" s="2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verticalDpi="599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LEANDRO SOUZA</cp:lastModifiedBy>
  <dcterms:created xsi:type="dcterms:W3CDTF">2024-12-19T13:13:10Z</dcterms:created>
  <dcterms:modified xsi:type="dcterms:W3CDTF">2026-01-08T18:24:52Z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